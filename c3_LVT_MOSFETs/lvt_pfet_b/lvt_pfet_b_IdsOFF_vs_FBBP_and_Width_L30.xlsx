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rmit.internal\USRHome\el8\e03108\Configuration\Desktop\HUY_HPC2_FILES\MOSFETs\lvt_pfet_b\Final Data\"/>
    </mc:Choice>
  </mc:AlternateContent>
  <xr:revisionPtr revIDLastSave="0" documentId="13_ncr:1_{B93C4195-49CD-4FC7-88A9-9AA80BEA81E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vt_nfet_b_Idssat_vs_FBBN_and_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" l="1"/>
  <c r="J32" i="1"/>
  <c r="I32" i="1"/>
  <c r="H32" i="1"/>
  <c r="G32" i="1"/>
  <c r="F32" i="1"/>
  <c r="E32" i="1"/>
  <c r="D32" i="1"/>
  <c r="C32" i="1"/>
  <c r="B32" i="1"/>
  <c r="K31" i="1"/>
  <c r="J31" i="1"/>
  <c r="I31" i="1"/>
  <c r="H31" i="1"/>
  <c r="G31" i="1"/>
  <c r="F31" i="1"/>
  <c r="E31" i="1"/>
  <c r="D31" i="1"/>
  <c r="C31" i="1"/>
  <c r="B31" i="1"/>
  <c r="K30" i="1"/>
  <c r="J30" i="1"/>
  <c r="I30" i="1"/>
  <c r="H30" i="1"/>
  <c r="G30" i="1"/>
  <c r="F30" i="1"/>
  <c r="E30" i="1"/>
  <c r="D30" i="1"/>
  <c r="C30" i="1"/>
  <c r="B30" i="1"/>
  <c r="K29" i="1"/>
  <c r="J29" i="1"/>
  <c r="I29" i="1"/>
  <c r="H29" i="1"/>
  <c r="G29" i="1"/>
  <c r="F29" i="1"/>
  <c r="E29" i="1"/>
  <c r="D29" i="1"/>
  <c r="C29" i="1"/>
  <c r="B29" i="1"/>
  <c r="K28" i="1"/>
  <c r="J28" i="1"/>
  <c r="I28" i="1"/>
  <c r="H28" i="1"/>
  <c r="G28" i="1"/>
  <c r="F28" i="1"/>
  <c r="E28" i="1"/>
  <c r="D28" i="1"/>
  <c r="C28" i="1"/>
  <c r="B28" i="1"/>
  <c r="K25" i="1"/>
  <c r="J25" i="1"/>
  <c r="I25" i="1"/>
  <c r="H25" i="1"/>
  <c r="G25" i="1"/>
  <c r="F25" i="1"/>
  <c r="E25" i="1"/>
  <c r="D25" i="1"/>
  <c r="C25" i="1"/>
  <c r="B25" i="1"/>
  <c r="K24" i="1"/>
  <c r="J24" i="1"/>
  <c r="I24" i="1"/>
  <c r="H24" i="1"/>
  <c r="G24" i="1"/>
  <c r="F24" i="1"/>
  <c r="E24" i="1"/>
  <c r="D24" i="1"/>
  <c r="C24" i="1"/>
  <c r="B24" i="1"/>
  <c r="K23" i="1"/>
  <c r="J23" i="1"/>
  <c r="I23" i="1"/>
  <c r="H23" i="1"/>
  <c r="G23" i="1"/>
  <c r="F23" i="1"/>
  <c r="E23" i="1"/>
  <c r="D23" i="1"/>
  <c r="C23" i="1"/>
  <c r="B23" i="1"/>
  <c r="K22" i="1"/>
  <c r="J22" i="1"/>
  <c r="I22" i="1"/>
  <c r="H22" i="1"/>
  <c r="G22" i="1"/>
  <c r="F22" i="1"/>
  <c r="E22" i="1"/>
  <c r="D22" i="1"/>
  <c r="C22" i="1"/>
  <c r="B22" i="1"/>
  <c r="K21" i="1"/>
  <c r="J21" i="1"/>
  <c r="I21" i="1"/>
  <c r="H21" i="1"/>
  <c r="G21" i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<sst xmlns="http://schemas.openxmlformats.org/spreadsheetml/2006/main" count="29" uniqueCount="15">
  <si>
    <t>Vds = 0.9V</t>
  </si>
  <si>
    <t>Vds=0.45V</t>
  </si>
  <si>
    <t>W=160n</t>
  </si>
  <si>
    <t>W=240n</t>
  </si>
  <si>
    <t>W=320n</t>
  </si>
  <si>
    <t>Idsat versus Forward Body Bias and Width</t>
  </si>
  <si>
    <t>Vds=0.9V</t>
  </si>
  <si>
    <t>/P0/s pw 1.6e-07  (A)</t>
  </si>
  <si>
    <t>/P0/s pw 2.4e-07  (A)</t>
  </si>
  <si>
    <t>/P0/s pw 3.2e-07  (A)</t>
  </si>
  <si>
    <t>/P0/s pw 4e-07  (A)</t>
  </si>
  <si>
    <t>/P0/s pw 4.8e-07  (A)</t>
  </si>
  <si>
    <t>V_FBBP</t>
  </si>
  <si>
    <t>W=400n</t>
  </si>
  <si>
    <t>W=480n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</si>
</sst>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Idsat vs. FBBP</a:t>
            </a:r>
            <a:r>
              <a:rPr lang="en-AU" baseline="0"/>
              <a:t> and Width (@Vds=0.9V, L=30n)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lvt_nfet_b_Idssat_vs_FBBN_and_W!$A$21</c:f>
              <c:strCache>
                <c:ptCount val="1"/>
                <c:pt idx="0">
                  <c:v>W=160n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lvt_nfet_b_Idssat_vs_FBBN_and_W!$B$21:$K$21</c:f>
              <c:numCache>
                <c:formatCode>0.00E+00</c:formatCode>
                <c:ptCount val="10"/>
                <c:pt idx="0">
                  <c:v>7.2909999999999999E-10</c:v>
                </c:pt>
                <c:pt idx="1">
                  <c:v>1.047E-9</c:v>
                </c:pt>
                <c:pt idx="2">
                  <c:v>1.4990000000000001E-9</c:v>
                </c:pt>
                <c:pt idx="3">
                  <c:v>2.1390000000000002E-9</c:v>
                </c:pt>
                <c:pt idx="4">
                  <c:v>3.0429999999999999E-9</c:v>
                </c:pt>
                <c:pt idx="5">
                  <c:v>4.3139999999999998E-9</c:v>
                </c:pt>
                <c:pt idx="6">
                  <c:v>6.0959999999999996E-9</c:v>
                </c:pt>
                <c:pt idx="7">
                  <c:v>1.2029999999999999E-8</c:v>
                </c:pt>
                <c:pt idx="8">
                  <c:v>2.3350000000000001E-8</c:v>
                </c:pt>
                <c:pt idx="9">
                  <c:v>4.4390000000000002E-8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D-44D7-AEC9-CF7FB4B70E4C}"/>
            </c:ext>
          </c:extLst>
        </c:ser>
        <c:ser>
          <c:idx val="1"/>
          <c:order val="1"/>
          <c:tx>
            <c:strRef>
              <c:f>lvt_nfet_b_Idssat_vs_FBBN_and_W!$A$22</c:f>
              <c:strCache>
                <c:ptCount val="1"/>
                <c:pt idx="0">
                  <c:v>W=240n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lvt_nfet_b_Idssat_vs_FBBN_and_W!$B$22:$K$22</c:f>
              <c:numCache>
                <c:formatCode>0.00E+00</c:formatCode>
                <c:ptCount val="10"/>
                <c:pt idx="0">
                  <c:v>1.515E-9</c:v>
                </c:pt>
                <c:pt idx="1">
                  <c:v>2.168E-9</c:v>
                </c:pt>
                <c:pt idx="2">
                  <c:v>3.093E-9</c:v>
                </c:pt>
                <c:pt idx="3">
                  <c:v>4.3969999999999996E-9</c:v>
                </c:pt>
                <c:pt idx="4">
                  <c:v>6.2279999999999996E-9</c:v>
                </c:pt>
                <c:pt idx="5">
                  <c:v>8.7910000000000008E-9</c:v>
                </c:pt>
                <c:pt idx="6">
                  <c:v>1.236E-8</c:v>
                </c:pt>
                <c:pt idx="7">
                  <c:v>2.4129999999999998E-8</c:v>
                </c:pt>
                <c:pt idx="8">
                  <c:v>4.6199999999999997E-8</c:v>
                </c:pt>
                <c:pt idx="9">
                  <c:v>8.6420000000000002E-8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8D-44D7-AEC9-CF7FB4B70E4C}"/>
            </c:ext>
          </c:extLst>
        </c:ser>
        <c:ser>
          <c:idx val="2"/>
          <c:order val="2"/>
          <c:tx>
            <c:strRef>
              <c:f>lvt_nfet_b_Idssat_vs_FBBN_and_W!$A$23</c:f>
              <c:strCache>
                <c:ptCount val="1"/>
                <c:pt idx="0">
                  <c:v>W=320n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lvt_nfet_b_Idssat_vs_FBBN_and_W!$B$23:$K$23</c:f>
              <c:numCache>
                <c:formatCode>0.00E+00</c:formatCode>
                <c:ptCount val="10"/>
                <c:pt idx="0">
                  <c:v>2.4359999999999999E-9</c:v>
                </c:pt>
                <c:pt idx="1">
                  <c:v>3.4780000000000002E-9</c:v>
                </c:pt>
                <c:pt idx="2">
                  <c:v>4.9479999999999999E-9</c:v>
                </c:pt>
                <c:pt idx="3">
                  <c:v>7.0150000000000003E-9</c:v>
                </c:pt>
                <c:pt idx="4">
                  <c:v>9.9089999999999996E-9</c:v>
                </c:pt>
                <c:pt idx="5">
                  <c:v>1.3939999999999999E-8</c:v>
                </c:pt>
                <c:pt idx="6">
                  <c:v>1.9540000000000002E-8</c:v>
                </c:pt>
                <c:pt idx="7">
                  <c:v>3.7849999999999998E-8</c:v>
                </c:pt>
                <c:pt idx="8">
                  <c:v>7.1820000000000004E-8</c:v>
                </c:pt>
                <c:pt idx="9">
                  <c:v>1.3290000000000001E-7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8D-44D7-AEC9-CF7FB4B70E4C}"/>
            </c:ext>
          </c:extLst>
        </c:ser>
        <c:ser>
          <c:idx val="3"/>
          <c:order val="3"/>
          <c:tx>
            <c:strRef>
              <c:f>lvt_nfet_b_Idssat_vs_FBBN_and_W!$A$24</c:f>
              <c:strCache>
                <c:ptCount val="1"/>
                <c:pt idx="0">
                  <c:v>W=400n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lvt_nfet_b_Idssat_vs_FBBN_and_W!$B$24:$K$24</c:f>
              <c:numCache>
                <c:formatCode>0.00E+00</c:formatCode>
                <c:ptCount val="10"/>
                <c:pt idx="0">
                  <c:v>3.4149999999999999E-9</c:v>
                </c:pt>
                <c:pt idx="1">
                  <c:v>4.8660000000000004E-9</c:v>
                </c:pt>
                <c:pt idx="2">
                  <c:v>6.9109999999999998E-9</c:v>
                </c:pt>
                <c:pt idx="3">
                  <c:v>9.7789999999999994E-9</c:v>
                </c:pt>
                <c:pt idx="4">
                  <c:v>1.378E-8</c:v>
                </c:pt>
                <c:pt idx="5">
                  <c:v>1.9350000000000001E-8</c:v>
                </c:pt>
                <c:pt idx="6">
                  <c:v>2.7050000000000001E-8</c:v>
                </c:pt>
                <c:pt idx="7">
                  <c:v>5.2140000000000002E-8</c:v>
                </c:pt>
                <c:pt idx="8">
                  <c:v>9.8329999999999994E-8</c:v>
                </c:pt>
                <c:pt idx="9">
                  <c:v>1.8059999999999999E-7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8D-44D7-AEC9-CF7FB4B70E4C}"/>
            </c:ext>
          </c:extLst>
        </c:ser>
        <c:ser>
          <c:idx val="4"/>
          <c:order val="4"/>
          <c:tx>
            <c:strRef>
              <c:f>lvt_nfet_b_Idssat_vs_FBBN_and_W!$A$25</c:f>
              <c:strCache>
                <c:ptCount val="1"/>
                <c:pt idx="0">
                  <c:v>W=480n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lvt_nfet_b_Idssat_vs_FBBN_and_W!$B$20:$K$20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lvt_nfet_b_Idssat_vs_FBBN_and_W!$B$25:$K$25</c:f>
              <c:numCache>
                <c:formatCode>0.00E+00</c:formatCode>
                <c:ptCount val="10"/>
                <c:pt idx="0">
                  <c:v>4.4299999999999998E-9</c:v>
                </c:pt>
                <c:pt idx="1">
                  <c:v>6.3060000000000004E-9</c:v>
                </c:pt>
                <c:pt idx="2">
                  <c:v>8.9429999999999994E-9</c:v>
                </c:pt>
                <c:pt idx="3">
                  <c:v>1.2639999999999999E-8</c:v>
                </c:pt>
                <c:pt idx="4">
                  <c:v>1.7780000000000001E-8</c:v>
                </c:pt>
                <c:pt idx="5">
                  <c:v>2.4929999999999999E-8</c:v>
                </c:pt>
                <c:pt idx="6">
                  <c:v>3.4790000000000002E-8</c:v>
                </c:pt>
                <c:pt idx="7">
                  <c:v>6.6780000000000006E-8</c:v>
                </c:pt>
                <c:pt idx="8">
                  <c:v>1.254E-7</c:v>
                </c:pt>
                <c:pt idx="9">
                  <c:v>2.2910000000000001E-7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FF-42C8-82F5-4BB7D7B64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342312"/>
        <c:axId val="675341000"/>
      </c:lineChart>
      <c:catAx>
        <c:axId val="675342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41000"/>
        <c:crosses val="autoZero"/>
        <c:auto val="1"/>
        <c:lblAlgn val="ctr"/>
        <c:lblOffset val="100"/>
        <c:noMultiLvlLbl val="0"/>
      </c:catAx>
      <c:valAx>
        <c:axId val="67534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34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baseline="0">
                <a:effectLst/>
              </a:rPr>
              <a:t>Idsat vs. FBBP and Width (@Vds=0.45V, L=30n)</a:t>
            </a:r>
            <a:endParaRPr lang="en-A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lvt_nfet_b_Idssat_vs_FBBN_and_W!$A$28</c:f>
              <c:strCache>
                <c:ptCount val="1"/>
                <c:pt idx="0">
                  <c:v>W=160n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lvt_nfet_b_Idssat_vs_FBBN_and_W!$B$28:$K$28</c:f>
              <c:numCache>
                <c:formatCode>0.00E+00</c:formatCode>
                <c:ptCount val="10"/>
                <c:pt idx="0">
                  <c:v>9.8549999999999998E-11</c:v>
                </c:pt>
                <c:pt idx="1">
                  <c:v>1.425E-10</c:v>
                </c:pt>
                <c:pt idx="2">
                  <c:v>2.0559999999999999E-10</c:v>
                </c:pt>
                <c:pt idx="3">
                  <c:v>2.958E-10</c:v>
                </c:pt>
                <c:pt idx="4">
                  <c:v>4.2449999999999998E-10</c:v>
                </c:pt>
                <c:pt idx="5">
                  <c:v>6.0739999999999999E-10</c:v>
                </c:pt>
                <c:pt idx="6">
                  <c:v>8.6670000000000002E-10</c:v>
                </c:pt>
                <c:pt idx="7">
                  <c:v>1.748E-9</c:v>
                </c:pt>
                <c:pt idx="8">
                  <c:v>3.4809999999999999E-9</c:v>
                </c:pt>
                <c:pt idx="9">
                  <c:v>6.8310000000000001E-9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A-45DF-AEE4-AA8AD73FCE3B}"/>
            </c:ext>
          </c:extLst>
        </c:ser>
        <c:ser>
          <c:idx val="1"/>
          <c:order val="1"/>
          <c:tx>
            <c:strRef>
              <c:f>lvt_nfet_b_Idssat_vs_FBBN_and_W!$A$29</c:f>
              <c:strCache>
                <c:ptCount val="1"/>
                <c:pt idx="0">
                  <c:v>W=240n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lvt_nfet_b_Idssat_vs_FBBN_and_W!$B$29:$K$29</c:f>
              <c:numCache>
                <c:formatCode>0.00E+00</c:formatCode>
                <c:ptCount val="10"/>
                <c:pt idx="0">
                  <c:v>1.971E-10</c:v>
                </c:pt>
                <c:pt idx="1">
                  <c:v>2.8459999999999998E-10</c:v>
                </c:pt>
                <c:pt idx="2">
                  <c:v>4.099E-10</c:v>
                </c:pt>
                <c:pt idx="3">
                  <c:v>5.8870000000000005E-10</c:v>
                </c:pt>
                <c:pt idx="4">
                  <c:v>8.4289999999999995E-10</c:v>
                </c:pt>
                <c:pt idx="5">
                  <c:v>1.2030000000000001E-9</c:v>
                </c:pt>
                <c:pt idx="6">
                  <c:v>1.7120000000000001E-9</c:v>
                </c:pt>
                <c:pt idx="7">
                  <c:v>3.433E-9</c:v>
                </c:pt>
                <c:pt idx="8">
                  <c:v>6.7860000000000003E-9</c:v>
                </c:pt>
                <c:pt idx="9">
                  <c:v>1.3200000000000001E-8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9A-45DF-AEE4-AA8AD73FCE3B}"/>
            </c:ext>
          </c:extLst>
        </c:ser>
        <c:ser>
          <c:idx val="2"/>
          <c:order val="2"/>
          <c:tx>
            <c:strRef>
              <c:f>lvt_nfet_b_Idssat_vs_FBBN_and_W!$A$30</c:f>
              <c:strCache>
                <c:ptCount val="1"/>
                <c:pt idx="0">
                  <c:v>W=320n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lvt_nfet_b_Idssat_vs_FBBN_and_W!$B$30:$K$30</c:f>
              <c:numCache>
                <c:formatCode>0.00E+00</c:formatCode>
                <c:ptCount val="10"/>
                <c:pt idx="0">
                  <c:v>3.0900000000000002E-10</c:v>
                </c:pt>
                <c:pt idx="1">
                  <c:v>4.4570000000000002E-10</c:v>
                </c:pt>
                <c:pt idx="2">
                  <c:v>6.4109999999999999E-10</c:v>
                </c:pt>
                <c:pt idx="3">
                  <c:v>9.1940000000000005E-10</c:v>
                </c:pt>
                <c:pt idx="4">
                  <c:v>1.314E-9</c:v>
                </c:pt>
                <c:pt idx="5">
                  <c:v>1.873E-9</c:v>
                </c:pt>
                <c:pt idx="6">
                  <c:v>2.6609999999999998E-9</c:v>
                </c:pt>
                <c:pt idx="7">
                  <c:v>5.3119999999999999E-9</c:v>
                </c:pt>
                <c:pt idx="8">
                  <c:v>1.0449999999999999E-8</c:v>
                </c:pt>
                <c:pt idx="9">
                  <c:v>2.0199999999999999E-8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9A-45DF-AEE4-AA8AD73FCE3B}"/>
            </c:ext>
          </c:extLst>
        </c:ser>
        <c:ser>
          <c:idx val="3"/>
          <c:order val="3"/>
          <c:tx>
            <c:strRef>
              <c:f>lvt_nfet_b_Idssat_vs_FBBN_and_W!$A$31</c:f>
              <c:strCache>
                <c:ptCount val="1"/>
                <c:pt idx="0">
                  <c:v>W=400n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lvt_nfet_b_Idssat_vs_FBBN_and_W!$B$31:$K$31</c:f>
              <c:numCache>
                <c:formatCode>0.00E+00</c:formatCode>
                <c:ptCount val="10"/>
                <c:pt idx="0">
                  <c:v>4.259E-10</c:v>
                </c:pt>
                <c:pt idx="1">
                  <c:v>6.1379999999999999E-10</c:v>
                </c:pt>
                <c:pt idx="2">
                  <c:v>8.8199999999999995E-10</c:v>
                </c:pt>
                <c:pt idx="3">
                  <c:v>1.264E-9</c:v>
                </c:pt>
                <c:pt idx="4">
                  <c:v>1.804E-9</c:v>
                </c:pt>
                <c:pt idx="5">
                  <c:v>2.5679999999999998E-9</c:v>
                </c:pt>
                <c:pt idx="6">
                  <c:v>3.6429999999999999E-9</c:v>
                </c:pt>
                <c:pt idx="7">
                  <c:v>7.2529999999999997E-9</c:v>
                </c:pt>
                <c:pt idx="8">
                  <c:v>1.4219999999999999E-8</c:v>
                </c:pt>
                <c:pt idx="9">
                  <c:v>2.7389999999999999E-8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9A-45DF-AEE4-AA8AD73FCE3B}"/>
            </c:ext>
          </c:extLst>
        </c:ser>
        <c:ser>
          <c:idx val="4"/>
          <c:order val="4"/>
          <c:tx>
            <c:strRef>
              <c:f>lvt_nfet_b_Idssat_vs_FBBN_and_W!$A$32</c:f>
              <c:strCache>
                <c:ptCount val="1"/>
                <c:pt idx="0">
                  <c:v>W=480n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lvt_nfet_b_Idssat_vs_FBBN_and_W!$B$27:$K$27</c:f>
              <c:numCache>
                <c:formatCode>General</c:formatCode>
                <c:ptCount val="10"/>
                <c:pt idx="0">
                  <c:v>0</c:v>
                </c:pt>
                <c:pt idx="1">
                  <c:v>-0.15</c:v>
                </c:pt>
                <c:pt idx="2">
                  <c:v>-0.3</c:v>
                </c:pt>
                <c:pt idx="3">
                  <c:v>-0.45</c:v>
                </c:pt>
                <c:pt idx="4">
                  <c:v>-0.6</c:v>
                </c:pt>
                <c:pt idx="5">
                  <c:v>-0.75</c:v>
                </c:pt>
                <c:pt idx="6">
                  <c:v>-0.9</c:v>
                </c:pt>
                <c:pt idx="7">
                  <c:v>-1.2</c:v>
                </c:pt>
                <c:pt idx="8">
                  <c:v>-1.5</c:v>
                </c:pt>
                <c:pt idx="9">
                  <c:v>-1.8</c:v>
                </c:pt>
              </c:numCache>
            </c:numRef>
          </c:cat>
          <c:val>
            <c:numRef>
              <c:f>lvt_nfet_b_Idssat_vs_FBBN_and_W!$B$32:$K$32</c:f>
              <c:numCache>
                <c:formatCode>0.00E+00</c:formatCode>
                <c:ptCount val="10"/>
                <c:pt idx="0">
                  <c:v>5.4580000000000002E-10</c:v>
                </c:pt>
                <c:pt idx="1">
                  <c:v>7.8599999999999997E-10</c:v>
                </c:pt>
                <c:pt idx="2">
                  <c:v>1.1289999999999999E-9</c:v>
                </c:pt>
                <c:pt idx="3">
                  <c:v>1.616E-9</c:v>
                </c:pt>
                <c:pt idx="4">
                  <c:v>2.3049999999999998E-9</c:v>
                </c:pt>
                <c:pt idx="5">
                  <c:v>3.2789999999999999E-9</c:v>
                </c:pt>
                <c:pt idx="6">
                  <c:v>4.6459999999999999E-9</c:v>
                </c:pt>
                <c:pt idx="7">
                  <c:v>9.2300000000000006E-9</c:v>
                </c:pt>
                <c:pt idx="8">
                  <c:v>1.805E-8</c:v>
                </c:pt>
                <c:pt idx="9">
                  <c:v>3.4679999999999997E-8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F1-4750-B20D-46C7E1AFC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137040"/>
        <c:axId val="510135728"/>
      </c:lineChart>
      <c:catAx>
        <c:axId val="51013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35728"/>
        <c:crosses val="autoZero"/>
        <c:auto val="1"/>
        <c:lblAlgn val="ctr"/>
        <c:lblOffset val="100"/>
        <c:noMultiLvlLbl val="0"/>
      </c:catAx>
      <c:valAx>
        <c:axId val="5101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Idsat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3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561975</xdr:colOff>
      <xdr:row>9</xdr:row>
      <xdr:rowOff>90487</xdr:rowOff>
    </xdr:from>
    <xdr:to>
      <xdr:col>19</xdr:col>
      <xdr:colOff>257175</xdr:colOff>
      <xdr:row>23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EACBEC-0438-4DAA-BA7E-905815741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485775</xdr:colOff>
      <xdr:row>25</xdr:row>
      <xdr:rowOff>128587</xdr:rowOff>
    </xdr:from>
    <xdr:to>
      <xdr:col>19</xdr:col>
      <xdr:colOff>180975</xdr:colOff>
      <xdr:row>40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6CC5A8-7503-4790-BDA7-A5E8D7C0F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U18" sqref="U18"/>
    </sheetView>
  </sheetViews>
  <sheetFormatPr defaultRowHeight="15" x14ac:dyDescent="0.25"/>
  <cols>
    <col min="1" max="1" width="11.42578125" customWidth="1"/>
  </cols>
  <sheetData>
    <row r="1" spans="1:11" x14ac:dyDescent="0.25">
      <c r="A1" t="s">
        <v>0</v>
      </c>
    </row>
    <row r="2" spans="1:11" x14ac:dyDescent="0.25">
      <c r="A2" t="s">
        <v>12</v>
      </c>
      <c r="B2">
        <v>0</v>
      </c>
      <c r="C2" s="1">
        <v>-0.15</v>
      </c>
      <c r="D2" s="1">
        <v>-0.3</v>
      </c>
      <c r="E2" s="1">
        <v>-0.45</v>
      </c>
      <c r="F2" s="1">
        <v>-0.6</v>
      </c>
      <c r="G2" s="1">
        <v>-0.75</v>
      </c>
      <c r="H2" s="1">
        <v>-0.9</v>
      </c>
      <c r="I2">
        <v>-1.2</v>
      </c>
      <c r="J2">
        <v>-1.5</v>
      </c>
      <c r="K2">
        <v>-1.8</v>
      </c>
    </row>
    <row r="3" spans="1:11" x14ac:dyDescent="0.25">
      <c r="A3" t="s">
        <v>7</v>
      </c>
      <c r="B3" s="1">
        <v>7.2909999999999999E-10</v>
      </c>
      <c r="C3" s="1">
        <v>1.047E-9</v>
      </c>
      <c r="D3" s="1">
        <v>1.4990000000000001E-9</v>
      </c>
      <c r="E3" s="1">
        <v>2.1390000000000002E-9</v>
      </c>
      <c r="F3" s="1">
        <v>3.0429999999999999E-9</v>
      </c>
      <c r="G3" s="1">
        <v>4.3139999999999998E-9</v>
      </c>
      <c r="H3" s="1">
        <v>6.0959999999999996E-9</v>
      </c>
      <c r="I3" s="1">
        <v>1.2029999999999999E-8</v>
      </c>
      <c r="J3" s="1">
        <v>2.3350000000000001E-8</v>
      </c>
      <c r="K3" s="1">
        <v>4.4390000000000002E-8</v>
      </c>
    </row>
    <row r="4" spans="1:11" x14ac:dyDescent="0.25">
      <c r="A4" t="s">
        <v>8</v>
      </c>
      <c r="B4" s="1">
        <v>1.515E-9</v>
      </c>
      <c r="C4" s="1">
        <v>2.168E-9</v>
      </c>
      <c r="D4" s="1">
        <v>3.093E-9</v>
      </c>
      <c r="E4" s="1">
        <v>4.3969999999999996E-9</v>
      </c>
      <c r="F4" s="1">
        <v>6.2279999999999996E-9</v>
      </c>
      <c r="G4" s="1">
        <v>8.7910000000000008E-9</v>
      </c>
      <c r="H4" s="1">
        <v>1.236E-8</v>
      </c>
      <c r="I4" s="1">
        <v>2.4129999999999998E-8</v>
      </c>
      <c r="J4" s="1">
        <v>4.6199999999999997E-8</v>
      </c>
      <c r="K4" s="1">
        <v>8.6420000000000002E-8</v>
      </c>
    </row>
    <row r="5" spans="1:11" x14ac:dyDescent="0.25">
      <c r="A5" t="s">
        <v>9</v>
      </c>
      <c r="B5" s="1">
        <v>2.4359999999999999E-9</v>
      </c>
      <c r="C5" s="1">
        <v>3.4780000000000002E-9</v>
      </c>
      <c r="D5" s="1">
        <v>4.9479999999999999E-9</v>
      </c>
      <c r="E5" s="1">
        <v>7.0150000000000003E-9</v>
      </c>
      <c r="F5" s="1">
        <v>9.9089999999999996E-9</v>
      </c>
      <c r="G5" s="1">
        <v>1.3939999999999999E-8</v>
      </c>
      <c r="H5" s="1">
        <v>1.9540000000000002E-8</v>
      </c>
      <c r="I5" s="1">
        <v>3.7849999999999998E-8</v>
      </c>
      <c r="J5" s="1">
        <v>7.1820000000000004E-8</v>
      </c>
      <c r="K5" s="1">
        <v>1.3290000000000001E-7</v>
      </c>
    </row>
    <row r="6" spans="1:11" x14ac:dyDescent="0.25">
      <c r="A6" t="s">
        <v>10</v>
      </c>
      <c r="B6" s="1">
        <v>3.4149999999999999E-9</v>
      </c>
      <c r="C6" s="1">
        <v>4.8660000000000004E-9</v>
      </c>
      <c r="D6" s="1">
        <v>6.9109999999999998E-9</v>
      </c>
      <c r="E6" s="1">
        <v>9.7789999999999994E-9</v>
      </c>
      <c r="F6" s="1">
        <v>1.378E-8</v>
      </c>
      <c r="G6" s="1">
        <v>1.9350000000000001E-8</v>
      </c>
      <c r="H6" s="1">
        <v>2.7050000000000001E-8</v>
      </c>
      <c r="I6" s="1">
        <v>5.2140000000000002E-8</v>
      </c>
      <c r="J6" s="1">
        <v>9.8329999999999994E-8</v>
      </c>
      <c r="K6" s="1">
        <v>1.8059999999999999E-7</v>
      </c>
    </row>
    <row r="7" spans="1:11" x14ac:dyDescent="0.25">
      <c r="A7" t="s">
        <v>11</v>
      </c>
      <c r="B7" s="1">
        <v>4.4299999999999998E-9</v>
      </c>
      <c r="C7" s="1">
        <v>6.3060000000000004E-9</v>
      </c>
      <c r="D7" s="1">
        <v>8.9429999999999994E-9</v>
      </c>
      <c r="E7" s="1">
        <v>1.2639999999999999E-8</v>
      </c>
      <c r="F7" s="1">
        <v>1.7780000000000001E-8</v>
      </c>
      <c r="G7" s="1">
        <v>2.4929999999999999E-8</v>
      </c>
      <c r="H7" s="1">
        <v>3.4790000000000002E-8</v>
      </c>
      <c r="I7" s="1">
        <v>6.6780000000000006E-8</v>
      </c>
      <c r="J7" s="1">
        <v>1.254E-7</v>
      </c>
      <c r="K7" s="1">
        <v>2.2910000000000001E-7</v>
      </c>
    </row>
    <row r="8" spans="1:11" x14ac:dyDescent="0.25">
      <c r="A8" t="s">
        <v>1</v>
      </c>
    </row>
    <row r="9" spans="1:11" x14ac:dyDescent="0.25">
      <c r="A9" t="s">
        <v>12</v>
      </c>
      <c r="B9">
        <v>0</v>
      </c>
      <c r="C9" s="1">
        <v>-0.15</v>
      </c>
      <c r="D9" s="1">
        <v>-0.3</v>
      </c>
      <c r="E9" s="1">
        <v>-0.45</v>
      </c>
      <c r="F9" s="1">
        <v>-0.6</v>
      </c>
      <c r="G9" s="1">
        <v>-0.75</v>
      </c>
      <c r="H9" s="1">
        <v>-0.9</v>
      </c>
      <c r="I9">
        <v>-1.2</v>
      </c>
      <c r="J9">
        <v>-1.5</v>
      </c>
      <c r="K9">
        <v>-1.8</v>
      </c>
    </row>
    <row r="10" spans="1:11" x14ac:dyDescent="0.25">
      <c r="A10" t="s">
        <v>7</v>
      </c>
      <c r="B10" s="1">
        <v>9.8549999999999998E-11</v>
      </c>
      <c r="C10" s="1">
        <v>1.425E-10</v>
      </c>
      <c r="D10" s="1">
        <v>2.0559999999999999E-10</v>
      </c>
      <c r="E10" s="1">
        <v>2.958E-10</v>
      </c>
      <c r="F10" s="1">
        <v>4.2449999999999998E-10</v>
      </c>
      <c r="G10" s="1">
        <v>6.0739999999999999E-10</v>
      </c>
      <c r="H10" s="1">
        <v>8.6670000000000002E-10</v>
      </c>
      <c r="I10" s="1">
        <v>1.748E-9</v>
      </c>
      <c r="J10" s="1">
        <v>3.4809999999999999E-9</v>
      </c>
      <c r="K10" s="1">
        <v>6.8310000000000001E-9</v>
      </c>
    </row>
    <row r="11" spans="1:11" x14ac:dyDescent="0.25">
      <c r="A11" t="s">
        <v>8</v>
      </c>
      <c r="B11" s="1">
        <v>1.971E-10</v>
      </c>
      <c r="C11" s="1">
        <v>2.8459999999999998E-10</v>
      </c>
      <c r="D11" s="1">
        <v>4.099E-10</v>
      </c>
      <c r="E11" s="1">
        <v>5.8870000000000005E-10</v>
      </c>
      <c r="F11" s="1">
        <v>8.4289999999999995E-10</v>
      </c>
      <c r="G11" s="1">
        <v>1.2030000000000001E-9</v>
      </c>
      <c r="H11" s="1">
        <v>1.7120000000000001E-9</v>
      </c>
      <c r="I11" s="1">
        <v>3.433E-9</v>
      </c>
      <c r="J11" s="1">
        <v>6.7860000000000003E-9</v>
      </c>
      <c r="K11" s="1">
        <v>1.3200000000000001E-8</v>
      </c>
    </row>
    <row r="12" spans="1:11" x14ac:dyDescent="0.25">
      <c r="A12" t="s">
        <v>9</v>
      </c>
      <c r="B12" s="1">
        <v>3.0900000000000002E-10</v>
      </c>
      <c r="C12" s="1">
        <v>4.4570000000000002E-10</v>
      </c>
      <c r="D12" s="1">
        <v>6.4109999999999999E-10</v>
      </c>
      <c r="E12" s="1">
        <v>9.1940000000000005E-10</v>
      </c>
      <c r="F12" s="1">
        <v>1.314E-9</v>
      </c>
      <c r="G12" s="1">
        <v>1.873E-9</v>
      </c>
      <c r="H12" s="1">
        <v>2.6609999999999998E-9</v>
      </c>
      <c r="I12" s="1">
        <v>5.3119999999999999E-9</v>
      </c>
      <c r="J12" s="1">
        <v>1.0449999999999999E-8</v>
      </c>
      <c r="K12" s="1">
        <v>2.0199999999999999E-8</v>
      </c>
    </row>
    <row r="13" spans="1:11" x14ac:dyDescent="0.25">
      <c r="A13" t="s">
        <v>10</v>
      </c>
      <c r="B13" s="1">
        <v>4.259E-10</v>
      </c>
      <c r="C13" s="1">
        <v>6.1379999999999999E-10</v>
      </c>
      <c r="D13" s="1">
        <v>8.8199999999999995E-10</v>
      </c>
      <c r="E13" s="1">
        <v>1.264E-9</v>
      </c>
      <c r="F13" s="1">
        <v>1.804E-9</v>
      </c>
      <c r="G13" s="1">
        <v>2.5679999999999998E-9</v>
      </c>
      <c r="H13" s="1">
        <v>3.6429999999999999E-9</v>
      </c>
      <c r="I13" s="1">
        <v>7.2529999999999997E-9</v>
      </c>
      <c r="J13" s="1">
        <v>1.4219999999999999E-8</v>
      </c>
      <c r="K13" s="1">
        <v>2.7389999999999999E-8</v>
      </c>
    </row>
    <row r="14" spans="1:11" x14ac:dyDescent="0.25">
      <c r="A14" t="s">
        <v>11</v>
      </c>
      <c r="B14" s="1">
        <v>5.4580000000000002E-10</v>
      </c>
      <c r="C14" s="1">
        <v>7.8599999999999997E-10</v>
      </c>
      <c r="D14" s="1">
        <v>1.1289999999999999E-9</v>
      </c>
      <c r="E14" s="1">
        <v>1.616E-9</v>
      </c>
      <c r="F14" s="1">
        <v>2.3049999999999998E-9</v>
      </c>
      <c r="G14" s="1">
        <v>3.2789999999999999E-9</v>
      </c>
      <c r="H14" s="1">
        <v>4.6459999999999999E-9</v>
      </c>
      <c r="I14" s="1">
        <v>9.2300000000000006E-9</v>
      </c>
      <c r="J14" s="1">
        <v>1.805E-8</v>
      </c>
      <c r="K14" s="1">
        <v>3.4679999999999997E-8</v>
      </c>
    </row>
    <row r="18" spans="1:11" x14ac:dyDescent="0.25">
      <c r="A18" t="s">
        <v>5</v>
      </c>
    </row>
    <row r="19" spans="1:11" x14ac:dyDescent="0.25">
      <c r="A19" t="s">
        <v>6</v>
      </c>
    </row>
    <row r="20" spans="1:11" x14ac:dyDescent="0.25">
      <c r="A20" t="s">
        <v>12</v>
      </c>
      <c r="B20">
        <v>0</v>
      </c>
      <c r="C20">
        <v>-0.15</v>
      </c>
      <c r="D20">
        <v>-0.3</v>
      </c>
      <c r="E20">
        <v>-0.45</v>
      </c>
      <c r="F20">
        <v>-0.6</v>
      </c>
      <c r="G20">
        <v>-0.75</v>
      </c>
      <c r="H20">
        <v>-0.9</v>
      </c>
      <c r="I20">
        <v>-1.2</v>
      </c>
      <c r="J20">
        <v>-1.5</v>
      </c>
      <c r="K20">
        <v>-1.8</v>
      </c>
    </row>
    <row r="21" spans="1:11" x14ac:dyDescent="0.25">
      <c r="A21" t="s">
        <v>2</v>
      </c>
      <c r="B21" s="1">
        <f>B3</f>
        <v>7.2909999999999999E-10</v>
      </c>
      <c r="C21" s="1">
        <f t="shared" ref="C21:K21" si="0">C3</f>
        <v>1.047E-9</v>
      </c>
      <c r="D21" s="1">
        <f t="shared" si="0"/>
        <v>1.4990000000000001E-9</v>
      </c>
      <c r="E21" s="1">
        <f t="shared" si="0"/>
        <v>2.1390000000000002E-9</v>
      </c>
      <c r="F21" s="1">
        <f t="shared" si="0"/>
        <v>3.0429999999999999E-9</v>
      </c>
      <c r="G21" s="1">
        <f t="shared" si="0"/>
        <v>4.3139999999999998E-9</v>
      </c>
      <c r="H21" s="1">
        <f t="shared" si="0"/>
        <v>6.0959999999999996E-9</v>
      </c>
      <c r="I21" s="1">
        <f t="shared" si="0"/>
        <v>1.2029999999999999E-8</v>
      </c>
      <c r="J21" s="1">
        <f t="shared" si="0"/>
        <v>2.3350000000000001E-8</v>
      </c>
      <c r="K21" s="1">
        <f t="shared" si="0"/>
        <v>4.4390000000000002E-8</v>
      </c>
    </row>
    <row r="22" spans="1:11" x14ac:dyDescent="0.25">
      <c r="A22" t="s">
        <v>3</v>
      </c>
      <c r="B22" s="1">
        <f t="shared" ref="B22:K22" si="1">B4</f>
        <v>1.515E-9</v>
      </c>
      <c r="C22" s="1">
        <f t="shared" si="1"/>
        <v>2.168E-9</v>
      </c>
      <c r="D22" s="1">
        <f t="shared" si="1"/>
        <v>3.093E-9</v>
      </c>
      <c r="E22" s="1">
        <f t="shared" si="1"/>
        <v>4.3969999999999996E-9</v>
      </c>
      <c r="F22" s="1">
        <f t="shared" si="1"/>
        <v>6.2279999999999996E-9</v>
      </c>
      <c r="G22" s="1">
        <f t="shared" si="1"/>
        <v>8.7910000000000008E-9</v>
      </c>
      <c r="H22" s="1">
        <f t="shared" si="1"/>
        <v>1.236E-8</v>
      </c>
      <c r="I22" s="1">
        <f t="shared" si="1"/>
        <v>2.4129999999999998E-8</v>
      </c>
      <c r="J22" s="1">
        <f t="shared" si="1"/>
        <v>4.6199999999999997E-8</v>
      </c>
      <c r="K22" s="1">
        <f t="shared" si="1"/>
        <v>8.6420000000000002E-8</v>
      </c>
    </row>
    <row r="23" spans="1:11" x14ac:dyDescent="0.25">
      <c r="A23" t="s">
        <v>4</v>
      </c>
      <c r="B23" s="1">
        <f t="shared" ref="B23:K23" si="2">B5</f>
        <v>2.4359999999999999E-9</v>
      </c>
      <c r="C23" s="1">
        <f t="shared" si="2"/>
        <v>3.4780000000000002E-9</v>
      </c>
      <c r="D23" s="1">
        <f t="shared" si="2"/>
        <v>4.9479999999999999E-9</v>
      </c>
      <c r="E23" s="1">
        <f t="shared" si="2"/>
        <v>7.0150000000000003E-9</v>
      </c>
      <c r="F23" s="1">
        <f t="shared" si="2"/>
        <v>9.9089999999999996E-9</v>
      </c>
      <c r="G23" s="1">
        <f t="shared" si="2"/>
        <v>1.3939999999999999E-8</v>
      </c>
      <c r="H23" s="1">
        <f t="shared" si="2"/>
        <v>1.9540000000000002E-8</v>
      </c>
      <c r="I23" s="1">
        <f t="shared" si="2"/>
        <v>3.7849999999999998E-8</v>
      </c>
      <c r="J23" s="1">
        <f t="shared" si="2"/>
        <v>7.1820000000000004E-8</v>
      </c>
      <c r="K23" s="1">
        <f t="shared" si="2"/>
        <v>1.3290000000000001E-7</v>
      </c>
    </row>
    <row r="24" spans="1:11" x14ac:dyDescent="0.25">
      <c r="A24" t="s">
        <v>13</v>
      </c>
      <c r="B24" s="1">
        <f t="shared" ref="B24:K24" si="3">B6</f>
        <v>3.4149999999999999E-9</v>
      </c>
      <c r="C24" s="1">
        <f t="shared" si="3"/>
        <v>4.8660000000000004E-9</v>
      </c>
      <c r="D24" s="1">
        <f t="shared" si="3"/>
        <v>6.9109999999999998E-9</v>
      </c>
      <c r="E24" s="1">
        <f t="shared" si="3"/>
        <v>9.7789999999999994E-9</v>
      </c>
      <c r="F24" s="1">
        <f t="shared" si="3"/>
        <v>1.378E-8</v>
      </c>
      <c r="G24" s="1">
        <f t="shared" si="3"/>
        <v>1.9350000000000001E-8</v>
      </c>
      <c r="H24" s="1">
        <f t="shared" si="3"/>
        <v>2.7050000000000001E-8</v>
      </c>
      <c r="I24" s="1">
        <f t="shared" si="3"/>
        <v>5.2140000000000002E-8</v>
      </c>
      <c r="J24" s="1">
        <f t="shared" si="3"/>
        <v>9.8329999999999994E-8</v>
      </c>
      <c r="K24" s="1">
        <f t="shared" si="3"/>
        <v>1.8059999999999999E-7</v>
      </c>
    </row>
    <row r="25" spans="1:11" x14ac:dyDescent="0.25">
      <c r="A25" t="s">
        <v>14</v>
      </c>
      <c r="B25" s="1">
        <f t="shared" ref="B25:K25" si="4">B7</f>
        <v>4.4299999999999998E-9</v>
      </c>
      <c r="C25" s="1">
        <f t="shared" si="4"/>
        <v>6.3060000000000004E-9</v>
      </c>
      <c r="D25" s="1">
        <f t="shared" si="4"/>
        <v>8.9429999999999994E-9</v>
      </c>
      <c r="E25" s="1">
        <f t="shared" si="4"/>
        <v>1.2639999999999999E-8</v>
      </c>
      <c r="F25" s="1">
        <f t="shared" si="4"/>
        <v>1.7780000000000001E-8</v>
      </c>
      <c r="G25" s="1">
        <f t="shared" si="4"/>
        <v>2.4929999999999999E-8</v>
      </c>
      <c r="H25" s="1">
        <f t="shared" si="4"/>
        <v>3.4790000000000002E-8</v>
      </c>
      <c r="I25" s="1">
        <f t="shared" si="4"/>
        <v>6.6780000000000006E-8</v>
      </c>
      <c r="J25" s="1">
        <f t="shared" si="4"/>
        <v>1.254E-7</v>
      </c>
      <c r="K25" s="1">
        <f t="shared" si="4"/>
        <v>2.2910000000000001E-7</v>
      </c>
    </row>
    <row r="26" spans="1:11" x14ac:dyDescent="0.25">
      <c r="A26" t="s">
        <v>1</v>
      </c>
    </row>
    <row r="27" spans="1:11" x14ac:dyDescent="0.25">
      <c r="A27" t="s">
        <v>12</v>
      </c>
      <c r="B27">
        <v>0</v>
      </c>
      <c r="C27">
        <v>-0.15</v>
      </c>
      <c r="D27">
        <v>-0.3</v>
      </c>
      <c r="E27">
        <v>-0.45</v>
      </c>
      <c r="F27">
        <v>-0.6</v>
      </c>
      <c r="G27">
        <v>-0.75</v>
      </c>
      <c r="H27">
        <v>-0.9</v>
      </c>
      <c r="I27">
        <v>-1.2</v>
      </c>
      <c r="J27">
        <v>-1.5</v>
      </c>
      <c r="K27">
        <v>-1.8</v>
      </c>
    </row>
    <row r="28" spans="1:11" x14ac:dyDescent="0.25">
      <c r="A28" t="s">
        <v>2</v>
      </c>
      <c r="B28" s="1">
        <f t="shared" ref="B28:K28" si="5">B10</f>
        <v>9.8549999999999998E-11</v>
      </c>
      <c r="C28" s="1">
        <f t="shared" si="5"/>
        <v>1.425E-10</v>
      </c>
      <c r="D28" s="1">
        <f t="shared" si="5"/>
        <v>2.0559999999999999E-10</v>
      </c>
      <c r="E28" s="1">
        <f t="shared" si="5"/>
        <v>2.958E-10</v>
      </c>
      <c r="F28" s="1">
        <f t="shared" si="5"/>
        <v>4.2449999999999998E-10</v>
      </c>
      <c r="G28" s="1">
        <f t="shared" si="5"/>
        <v>6.0739999999999999E-10</v>
      </c>
      <c r="H28" s="1">
        <f t="shared" si="5"/>
        <v>8.6670000000000002E-10</v>
      </c>
      <c r="I28" s="1">
        <f t="shared" si="5"/>
        <v>1.748E-9</v>
      </c>
      <c r="J28" s="1">
        <f t="shared" si="5"/>
        <v>3.4809999999999999E-9</v>
      </c>
      <c r="K28" s="1">
        <f t="shared" si="5"/>
        <v>6.8310000000000001E-9</v>
      </c>
    </row>
    <row r="29" spans="1:11" x14ac:dyDescent="0.25">
      <c r="A29" t="s">
        <v>3</v>
      </c>
      <c r="B29" s="1">
        <f t="shared" ref="B29:K29" si="6">B11</f>
        <v>1.971E-10</v>
      </c>
      <c r="C29" s="1">
        <f t="shared" si="6"/>
        <v>2.8459999999999998E-10</v>
      </c>
      <c r="D29" s="1">
        <f t="shared" si="6"/>
        <v>4.099E-10</v>
      </c>
      <c r="E29" s="1">
        <f t="shared" si="6"/>
        <v>5.8870000000000005E-10</v>
      </c>
      <c r="F29" s="1">
        <f t="shared" si="6"/>
        <v>8.4289999999999995E-10</v>
      </c>
      <c r="G29" s="1">
        <f t="shared" si="6"/>
        <v>1.2030000000000001E-9</v>
      </c>
      <c r="H29" s="1">
        <f t="shared" si="6"/>
        <v>1.7120000000000001E-9</v>
      </c>
      <c r="I29" s="1">
        <f t="shared" si="6"/>
        <v>3.433E-9</v>
      </c>
      <c r="J29" s="1">
        <f t="shared" si="6"/>
        <v>6.7860000000000003E-9</v>
      </c>
      <c r="K29" s="1">
        <f t="shared" si="6"/>
        <v>1.3200000000000001E-8</v>
      </c>
    </row>
    <row r="30" spans="1:11" x14ac:dyDescent="0.25">
      <c r="A30" t="s">
        <v>4</v>
      </c>
      <c r="B30" s="1">
        <f t="shared" ref="B30:K30" si="7">B12</f>
        <v>3.0900000000000002E-10</v>
      </c>
      <c r="C30" s="1">
        <f t="shared" si="7"/>
        <v>4.4570000000000002E-10</v>
      </c>
      <c r="D30" s="1">
        <f t="shared" si="7"/>
        <v>6.4109999999999999E-10</v>
      </c>
      <c r="E30" s="1">
        <f t="shared" si="7"/>
        <v>9.1940000000000005E-10</v>
      </c>
      <c r="F30" s="1">
        <f t="shared" si="7"/>
        <v>1.314E-9</v>
      </c>
      <c r="G30" s="1">
        <f t="shared" si="7"/>
        <v>1.873E-9</v>
      </c>
      <c r="H30" s="1">
        <f t="shared" si="7"/>
        <v>2.6609999999999998E-9</v>
      </c>
      <c r="I30" s="1">
        <f t="shared" si="7"/>
        <v>5.3119999999999999E-9</v>
      </c>
      <c r="J30" s="1">
        <f t="shared" si="7"/>
        <v>1.0449999999999999E-8</v>
      </c>
      <c r="K30" s="1">
        <f t="shared" si="7"/>
        <v>2.0199999999999999E-8</v>
      </c>
    </row>
    <row r="31" spans="1:11" x14ac:dyDescent="0.25">
      <c r="A31" t="s">
        <v>13</v>
      </c>
      <c r="B31" s="1">
        <f t="shared" ref="B31:K31" si="8">B13</f>
        <v>4.259E-10</v>
      </c>
      <c r="C31" s="1">
        <f t="shared" si="8"/>
        <v>6.1379999999999999E-10</v>
      </c>
      <c r="D31" s="1">
        <f t="shared" si="8"/>
        <v>8.8199999999999995E-10</v>
      </c>
      <c r="E31" s="1">
        <f t="shared" si="8"/>
        <v>1.264E-9</v>
      </c>
      <c r="F31" s="1">
        <f t="shared" si="8"/>
        <v>1.804E-9</v>
      </c>
      <c r="G31" s="1">
        <f t="shared" si="8"/>
        <v>2.5679999999999998E-9</v>
      </c>
      <c r="H31" s="1">
        <f t="shared" si="8"/>
        <v>3.6429999999999999E-9</v>
      </c>
      <c r="I31" s="1">
        <f t="shared" si="8"/>
        <v>7.2529999999999997E-9</v>
      </c>
      <c r="J31" s="1">
        <f t="shared" si="8"/>
        <v>1.4219999999999999E-8</v>
      </c>
      <c r="K31" s="1">
        <f t="shared" si="8"/>
        <v>2.7389999999999999E-8</v>
      </c>
    </row>
    <row r="32" spans="1:11" x14ac:dyDescent="0.25">
      <c r="A32" t="s">
        <v>14</v>
      </c>
      <c r="B32" s="1">
        <f t="shared" ref="B32:K32" si="9">B14</f>
        <v>5.4580000000000002E-10</v>
      </c>
      <c r="C32" s="1">
        <f t="shared" si="9"/>
        <v>7.8599999999999997E-10</v>
      </c>
      <c r="D32" s="1">
        <f t="shared" si="9"/>
        <v>1.1289999999999999E-9</v>
      </c>
      <c r="E32" s="1">
        <f t="shared" si="9"/>
        <v>1.616E-9</v>
      </c>
      <c r="F32" s="1">
        <f t="shared" si="9"/>
        <v>2.3049999999999998E-9</v>
      </c>
      <c r="G32" s="1">
        <f t="shared" si="9"/>
        <v>3.2789999999999999E-9</v>
      </c>
      <c r="H32" s="1">
        <f t="shared" si="9"/>
        <v>4.6459999999999999E-9</v>
      </c>
      <c r="I32" s="1">
        <f t="shared" si="9"/>
        <v>9.2300000000000006E-9</v>
      </c>
      <c r="J32" s="1">
        <f t="shared" si="9"/>
        <v>1.805E-8</v>
      </c>
      <c r="K32" s="1">
        <f t="shared" si="9"/>
        <v>3.4679999999999997E-8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lvt_nfet_b_Idssat_vs_FBBN_and_W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Beckett</cp:lastModifiedBy>
  <dcterms:created xsi:type="dcterms:W3CDTF">2022-01-01T03:18:15Z</dcterms:created>
  <dcterms:modified xsi:type="dcterms:W3CDTF">2022-01-01T07:46:58Z</dcterms:modified>
</cp:coreProperties>
</file>