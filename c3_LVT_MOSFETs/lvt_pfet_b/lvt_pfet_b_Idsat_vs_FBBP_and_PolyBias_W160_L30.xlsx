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pfet_b\Final Data\"/>
    </mc:Choice>
  </mc:AlternateContent>
  <xr:revisionPtr revIDLastSave="0" documentId="13_ncr:1_{69BF74FE-5BFF-4FF1-9F36-C6BF04EFAB4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vt_nfet_b_Idssat_vs_FBBN_and_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E9" i="1" s="1"/>
  <c r="F9" i="1" s="1"/>
  <c r="G9" i="1" s="1"/>
  <c r="H9" i="1" s="1"/>
  <c r="I9" i="1" s="1"/>
  <c r="J9" i="1" s="1"/>
  <c r="K9" i="1" s="1"/>
  <c r="C9" i="1"/>
  <c r="J3" i="1"/>
  <c r="K3" i="1" s="1"/>
  <c r="I3" i="1"/>
  <c r="D3" i="1"/>
  <c r="E3" i="1" s="1"/>
  <c r="F3" i="1" s="1"/>
  <c r="G3" i="1" s="1"/>
  <c r="H3" i="1" s="1"/>
  <c r="C3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C28" i="1"/>
  <c r="D28" i="1"/>
  <c r="E28" i="1"/>
  <c r="F28" i="1"/>
  <c r="G28" i="1"/>
  <c r="H28" i="1"/>
  <c r="I28" i="1"/>
  <c r="J28" i="1"/>
  <c r="K28" i="1"/>
  <c r="B28" i="1"/>
  <c r="K22" i="1"/>
  <c r="J22" i="1"/>
  <c r="I22" i="1"/>
  <c r="H22" i="1"/>
  <c r="G22" i="1"/>
  <c r="F22" i="1"/>
  <c r="E22" i="1"/>
  <c r="D22" i="1"/>
  <c r="C22" i="1"/>
  <c r="B22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C23" i="1"/>
  <c r="D23" i="1"/>
  <c r="E23" i="1"/>
  <c r="F23" i="1"/>
  <c r="G23" i="1"/>
  <c r="H23" i="1"/>
  <c r="I23" i="1"/>
  <c r="J23" i="1"/>
  <c r="K23" i="1"/>
  <c r="B23" i="1"/>
  <c r="A29" i="1"/>
  <c r="A30" i="1"/>
  <c r="A31" i="1"/>
  <c r="A21" i="1"/>
  <c r="A23" i="1"/>
  <c r="A24" i="1"/>
  <c r="A25" i="1"/>
  <c r="A26" i="1"/>
  <c r="A27" i="1"/>
  <c r="A20" i="1"/>
</calcChain>
</file>

<file path=xl/sharedStrings.xml><?xml version="1.0" encoding="utf-8"?>
<sst xmlns="http://schemas.openxmlformats.org/spreadsheetml/2006/main" count="24" uniqueCount="17">
  <si>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</si>
  <si>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</si>
  <si>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</si>
  <si>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</si>
  <si>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</si>
  <si>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</si>
  <si>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</si>
  <si>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</si>
  <si>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</si>
  <si>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</si>
  <si>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PB=4n</t>
  </si>
  <si>
    <t>PB=8n</t>
  </si>
  <si>
    <t>PB=16n</t>
  </si>
  <si>
    <t>Vds=0.9V</t>
  </si>
  <si>
    <t>Vds=0.45V</t>
  </si>
  <si>
    <t>No PB</t>
  </si>
  <si>
    <t>FBBP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</si>
</sst>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Idsat vs. FBBN and</a:t>
            </a:r>
            <a:r>
              <a:rPr lang="en-AU" baseline="0"/>
              <a:t> PB (@Vds=0.9V, W=80n, L=30n)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lvt_nfet_b_Idssat_vs_FBBN_and_P!$A$22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lvt_nfet_b_Idssat_vs_FBBN_and_P!$B$22:$K$22</c:f>
              <c:numCache>
                <c:formatCode>0.00</c:formatCode>
                <c:ptCount val="10"/>
                <c:pt idx="0">
                  <c:v>55.062792782260701</c:v>
                </c:pt>
                <c:pt idx="1">
                  <c:v>56.554606695855099</c:v>
                </c:pt>
                <c:pt idx="2">
                  <c:v>58.0312693723195</c:v>
                </c:pt>
                <c:pt idx="3">
                  <c:v>59.492571131941403</c:v>
                </c:pt>
                <c:pt idx="4">
                  <c:v>60.938429122168195</c:v>
                </c:pt>
                <c:pt idx="5">
                  <c:v>62.368862925556201</c:v>
                </c:pt>
                <c:pt idx="6">
                  <c:v>63.783974038833591</c:v>
                </c:pt>
                <c:pt idx="7">
                  <c:v>66.568946650641507</c:v>
                </c:pt>
                <c:pt idx="8">
                  <c:v>69.295239265501806</c:v>
                </c:pt>
                <c:pt idx="9">
                  <c:v>71.965276289181404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1-4DF0-BFCD-8D9DCCE0796C}"/>
            </c:ext>
          </c:extLst>
        </c:ser>
        <c:ser>
          <c:idx val="2"/>
          <c:order val="1"/>
          <c:tx>
            <c:strRef>
              <c:f>lvt_nfet_b_Idssat_vs_FBBN_and_P!$A$23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lvt_nfet_b_Idssat_vs_FBBN_and_P!$B$23:$K$23</c:f>
              <c:numCache>
                <c:formatCode>0.00</c:formatCode>
                <c:ptCount val="10"/>
                <c:pt idx="0">
                  <c:v>51.513412066488797</c:v>
                </c:pt>
                <c:pt idx="1">
                  <c:v>52.988634938623299</c:v>
                </c:pt>
                <c:pt idx="2">
                  <c:v>54.448550037865701</c:v>
                </c:pt>
                <c:pt idx="3">
                  <c:v>55.892888044259706</c:v>
                </c:pt>
                <c:pt idx="4">
                  <c:v>57.3215213591007</c:v>
                </c:pt>
                <c:pt idx="5">
                  <c:v>58.734437749344899</c:v>
                </c:pt>
                <c:pt idx="6">
                  <c:v>60.131718006262105</c:v>
                </c:pt>
                <c:pt idx="7">
                  <c:v>62.880051211511301</c:v>
                </c:pt>
                <c:pt idx="8">
                  <c:v>65.568408078559301</c:v>
                </c:pt>
                <c:pt idx="9">
                  <c:v>68.19928910034109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1-4DF0-BFCD-8D9DCCE0796C}"/>
            </c:ext>
          </c:extLst>
        </c:ser>
        <c:ser>
          <c:idx val="3"/>
          <c:order val="2"/>
          <c:tx>
            <c:strRef>
              <c:f>lvt_nfet_b_Idssat_vs_FBBN_and_P!$A$24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lvt_nfet_b_Idssat_vs_FBBN_and_P!$B$24:$K$24</c:f>
              <c:numCache>
                <c:formatCode>0.00</c:formatCode>
                <c:ptCount val="10"/>
                <c:pt idx="0">
                  <c:v>47.2889391709706</c:v>
                </c:pt>
                <c:pt idx="1">
                  <c:v>48.725515965182602</c:v>
                </c:pt>
                <c:pt idx="2">
                  <c:v>50.147042015632799</c:v>
                </c:pt>
                <c:pt idx="3">
                  <c:v>51.553180810655299</c:v>
                </c:pt>
                <c:pt idx="4">
                  <c:v>52.943751737202199</c:v>
                </c:pt>
                <c:pt idx="5">
                  <c:v>54.318701772864102</c:v>
                </c:pt>
                <c:pt idx="6">
                  <c:v>55.6780813090595</c:v>
                </c:pt>
                <c:pt idx="7">
                  <c:v>58.350730096447897</c:v>
                </c:pt>
                <c:pt idx="8">
                  <c:v>60.963487408647602</c:v>
                </c:pt>
                <c:pt idx="9">
                  <c:v>63.518825740414897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1-4DF0-BFCD-8D9DCCE0796C}"/>
            </c:ext>
          </c:extLst>
        </c:ser>
        <c:ser>
          <c:idx val="0"/>
          <c:order val="3"/>
          <c:tx>
            <c:strRef>
              <c:f>lvt_nfet_b_Idssat_vs_FBBN_and_P!$A$25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lvt_nfet_b_Idssat_vs_FBBN_and_P!$B$21:$K$21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lvt_nfet_b_Idssat_vs_FBBN_and_P!$B$25:$K$25</c:f>
              <c:numCache>
                <c:formatCode>0.00</c:formatCode>
                <c:ptCount val="10"/>
                <c:pt idx="0">
                  <c:v>41.6011553209133</c:v>
                </c:pt>
                <c:pt idx="1">
                  <c:v>42.954859321400896</c:v>
                </c:pt>
                <c:pt idx="2">
                  <c:v>44.294673746094901</c:v>
                </c:pt>
                <c:pt idx="3">
                  <c:v>45.620166684700898</c:v>
                </c:pt>
                <c:pt idx="4">
                  <c:v>46.931073660821099</c:v>
                </c:pt>
                <c:pt idx="5">
                  <c:v>48.227268044603299</c:v>
                </c:pt>
                <c:pt idx="6">
                  <c:v>49.508735577474198</c:v>
                </c:pt>
                <c:pt idx="7">
                  <c:v>52.027869795898802</c:v>
                </c:pt>
                <c:pt idx="8">
                  <c:v>54.489880028012095</c:v>
                </c:pt>
                <c:pt idx="9">
                  <c:v>56.896921925458599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B1-4DF0-BFCD-8D9DCCE0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984200"/>
        <c:axId val="510978296"/>
      </c:lineChart>
      <c:catAx>
        <c:axId val="51098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78296"/>
        <c:crosses val="autoZero"/>
        <c:auto val="1"/>
        <c:lblAlgn val="ctr"/>
        <c:lblOffset val="100"/>
        <c:noMultiLvlLbl val="0"/>
      </c:catAx>
      <c:valAx>
        <c:axId val="51097829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8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baseline="0">
                <a:effectLst/>
              </a:rPr>
              <a:t>Idsat vs. FBBN and PB (@Vds=0.45V, W=80n, L=30n)</a:t>
            </a:r>
            <a:endParaRPr lang="en-AU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lvt_nfet_b_Idssat_vs_FBBN_and_P!$A$28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lvt_nfet_b_Idssat_vs_FBBN_and_P!$B$28:$K$28</c:f>
              <c:numCache>
                <c:formatCode>0.00</c:formatCode>
                <c:ptCount val="10"/>
                <c:pt idx="0">
                  <c:v>2.4040273619464299</c:v>
                </c:pt>
                <c:pt idx="1">
                  <c:v>2.8068037731792903</c:v>
                </c:pt>
                <c:pt idx="2">
                  <c:v>3.24930215653356</c:v>
                </c:pt>
                <c:pt idx="3">
                  <c:v>3.73120121473778</c:v>
                </c:pt>
                <c:pt idx="4">
                  <c:v>4.2517457188377303</c:v>
                </c:pt>
                <c:pt idx="5">
                  <c:v>4.8097935861463901</c:v>
                </c:pt>
                <c:pt idx="6">
                  <c:v>5.4038776584279207</c:v>
                </c:pt>
                <c:pt idx="7">
                  <c:v>6.6931021468552006</c:v>
                </c:pt>
                <c:pt idx="8">
                  <c:v>8.1039834202929395</c:v>
                </c:pt>
                <c:pt idx="9">
                  <c:v>9.6202483055901507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8-47EA-BDC9-9FB6281B3D80}"/>
            </c:ext>
          </c:extLst>
        </c:ser>
        <c:ser>
          <c:idx val="1"/>
          <c:order val="1"/>
          <c:tx>
            <c:strRef>
              <c:f>lvt_nfet_b_Idssat_vs_FBBN_and_P!$A$29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lvt_nfet_b_Idssat_vs_FBBN_and_P!$B$29:$K$29</c:f>
              <c:numCache>
                <c:formatCode>0.00</c:formatCode>
                <c:ptCount val="10"/>
                <c:pt idx="0">
                  <c:v>1.7350576876927701</c:v>
                </c:pt>
                <c:pt idx="1">
                  <c:v>2.0635027941953799</c:v>
                </c:pt>
                <c:pt idx="2">
                  <c:v>2.4304015063915001</c:v>
                </c:pt>
                <c:pt idx="3">
                  <c:v>2.8361522096679699</c:v>
                </c:pt>
                <c:pt idx="4">
                  <c:v>3.2806774115407702</c:v>
                </c:pt>
                <c:pt idx="5">
                  <c:v>3.76344781621146</c:v>
                </c:pt>
                <c:pt idx="6">
                  <c:v>4.2835257278793106</c:v>
                </c:pt>
                <c:pt idx="7">
                  <c:v>5.4302014211502501</c:v>
                </c:pt>
                <c:pt idx="8">
                  <c:v>6.7076880697990697</c:v>
                </c:pt>
                <c:pt idx="9">
                  <c:v>8.1009908324326503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8-47EA-BDC9-9FB6281B3D80}"/>
            </c:ext>
          </c:extLst>
        </c:ser>
        <c:ser>
          <c:idx val="2"/>
          <c:order val="2"/>
          <c:tx>
            <c:strRef>
              <c:f>lvt_nfet_b_Idssat_vs_FBBN_and_P!$A$30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lvt_nfet_b_Idssat_vs_FBBN_and_P!$B$30:$K$30</c:f>
              <c:numCache>
                <c:formatCode>0.00</c:formatCode>
                <c:ptCount val="10"/>
                <c:pt idx="0">
                  <c:v>1.1662245543765402</c:v>
                </c:pt>
                <c:pt idx="1">
                  <c:v>1.4180748137149402</c:v>
                </c:pt>
                <c:pt idx="2">
                  <c:v>1.7052133968226701</c:v>
                </c:pt>
                <c:pt idx="3">
                  <c:v>2.02879372981424</c:v>
                </c:pt>
                <c:pt idx="4">
                  <c:v>2.3895026340618002</c:v>
                </c:pt>
                <c:pt idx="5">
                  <c:v>2.7875549715430101</c:v>
                </c:pt>
                <c:pt idx="6">
                  <c:v>3.22270686975456</c:v>
                </c:pt>
                <c:pt idx="7">
                  <c:v>4.20128068592037</c:v>
                </c:pt>
                <c:pt idx="8">
                  <c:v>5.3160102181752196</c:v>
                </c:pt>
                <c:pt idx="9">
                  <c:v>6.5543379708073299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8-47EA-BDC9-9FB6281B3D80}"/>
            </c:ext>
          </c:extLst>
        </c:ser>
        <c:ser>
          <c:idx val="3"/>
          <c:order val="3"/>
          <c:tx>
            <c:strRef>
              <c:f>lvt_nfet_b_Idssat_vs_FBBN_and_P!$A$31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-0.44999999999999996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lvt_nfet_b_Idssat_vs_FBBN_and_P!$B$31:$K$31</c:f>
              <c:numCache>
                <c:formatCode>0.00</c:formatCode>
                <c:ptCount val="10"/>
                <c:pt idx="0">
                  <c:v>0.701897114514478</c:v>
                </c:pt>
                <c:pt idx="1">
                  <c:v>0.87699421908657893</c:v>
                </c:pt>
                <c:pt idx="2">
                  <c:v>1.0817082497951001</c:v>
                </c:pt>
                <c:pt idx="3">
                  <c:v>1.31779612186256</c:v>
                </c:pt>
                <c:pt idx="4">
                  <c:v>1.58662411292063</c:v>
                </c:pt>
                <c:pt idx="5">
                  <c:v>1.8891369280960102</c:v>
                </c:pt>
                <c:pt idx="6">
                  <c:v>2.2258400293044098</c:v>
                </c:pt>
                <c:pt idx="7">
                  <c:v>3.00167369032738</c:v>
                </c:pt>
                <c:pt idx="8">
                  <c:v>3.9100655347917699</c:v>
                </c:pt>
                <c:pt idx="9">
                  <c:v>4.9424319141022695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F8-47EA-BDC9-9FB6281B3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981912"/>
        <c:axId val="503982240"/>
      </c:lineChart>
      <c:catAx>
        <c:axId val="503981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82240"/>
        <c:crosses val="autoZero"/>
        <c:auto val="1"/>
        <c:lblAlgn val="ctr"/>
        <c:lblOffset val="100"/>
        <c:noMultiLvlLbl val="0"/>
      </c:catAx>
      <c:valAx>
        <c:axId val="5039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8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14</xdr:row>
      <xdr:rowOff>157162</xdr:rowOff>
    </xdr:from>
    <xdr:to>
      <xdr:col>19</xdr:col>
      <xdr:colOff>371475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231B7-6247-46A0-BA13-4548D0D7B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32</xdr:row>
      <xdr:rowOff>90487</xdr:rowOff>
    </xdr:from>
    <xdr:to>
      <xdr:col>19</xdr:col>
      <xdr:colOff>428625</xdr:colOff>
      <xdr:row>46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29C28B-1C4B-479D-B274-F12FE5193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4" sqref="A4"/>
    </sheetView>
  </sheetViews>
  <sheetFormatPr defaultRowHeight="15" x14ac:dyDescent="0.25"/>
  <cols>
    <col min="1" max="1" width="10.1406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13</v>
      </c>
    </row>
    <row r="3" spans="1:11" x14ac:dyDescent="0.25">
      <c r="A3" t="s">
        <v>16</v>
      </c>
      <c r="B3">
        <v>0</v>
      </c>
      <c r="C3">
        <f>B3-0.15</f>
        <v>-0.15</v>
      </c>
      <c r="D3">
        <f t="shared" ref="D3:H3" si="0">C3-0.15</f>
        <v>-0.3</v>
      </c>
      <c r="E3">
        <f t="shared" si="0"/>
        <v>-0.44999999999999996</v>
      </c>
      <c r="F3">
        <f t="shared" si="0"/>
        <v>-0.6</v>
      </c>
      <c r="G3">
        <f t="shared" si="0"/>
        <v>-0.75</v>
      </c>
      <c r="H3">
        <f t="shared" si="0"/>
        <v>-0.9</v>
      </c>
      <c r="I3">
        <f>H3-0.3</f>
        <v>-1.2</v>
      </c>
      <c r="J3">
        <f t="shared" ref="J3:K3" si="1">I3-0.3</f>
        <v>-1.5</v>
      </c>
      <c r="K3">
        <f t="shared" si="1"/>
        <v>-1.8</v>
      </c>
    </row>
    <row r="4" spans="1:11" x14ac:dyDescent="0.25">
      <c r="A4" t="s">
        <v>15</v>
      </c>
      <c r="B4" s="1">
        <v>5.5062792782260699E-5</v>
      </c>
      <c r="C4" s="1">
        <v>5.6554606695855102E-5</v>
      </c>
      <c r="D4" s="1">
        <v>5.8031269372319501E-5</v>
      </c>
      <c r="E4" s="1">
        <v>5.9492571131941402E-5</v>
      </c>
      <c r="F4" s="1">
        <v>6.0938429122168197E-5</v>
      </c>
      <c r="G4" s="1">
        <v>6.2368862925556203E-5</v>
      </c>
      <c r="H4" s="1">
        <v>6.3783974038833594E-5</v>
      </c>
      <c r="I4" s="1">
        <v>6.6568946650641506E-5</v>
      </c>
      <c r="J4" s="1">
        <v>6.92952392655018E-5</v>
      </c>
      <c r="K4" s="1">
        <v>7.19652762891814E-5</v>
      </c>
    </row>
    <row r="5" spans="1:11" x14ac:dyDescent="0.25">
      <c r="A5" t="s">
        <v>10</v>
      </c>
      <c r="B5" s="1">
        <v>5.15134120664888E-5</v>
      </c>
      <c r="C5" s="1">
        <v>5.29886349386233E-5</v>
      </c>
      <c r="D5" s="1">
        <v>5.4448550037865702E-5</v>
      </c>
      <c r="E5" s="1">
        <v>5.5892888044259703E-5</v>
      </c>
      <c r="F5" s="1">
        <v>5.7321521359100703E-5</v>
      </c>
      <c r="G5" s="1">
        <v>5.8734437749344901E-5</v>
      </c>
      <c r="H5" s="1">
        <v>6.0131718006262103E-5</v>
      </c>
      <c r="I5" s="1">
        <v>6.2880051211511304E-5</v>
      </c>
      <c r="J5" s="1">
        <v>6.55684080785593E-5</v>
      </c>
      <c r="K5" s="1">
        <v>6.8199289100341094E-5</v>
      </c>
    </row>
    <row r="6" spans="1:11" x14ac:dyDescent="0.25">
      <c r="A6" t="s">
        <v>11</v>
      </c>
      <c r="B6" s="1">
        <v>4.7288939170970599E-5</v>
      </c>
      <c r="C6" s="1">
        <v>4.8725515965182599E-5</v>
      </c>
      <c r="D6" s="1">
        <v>5.01470420156328E-5</v>
      </c>
      <c r="E6" s="1">
        <v>5.15531808106553E-5</v>
      </c>
      <c r="F6" s="1">
        <v>5.2943751737202202E-5</v>
      </c>
      <c r="G6" s="1">
        <v>5.4318701772864101E-5</v>
      </c>
      <c r="H6" s="1">
        <v>5.5678081309059499E-5</v>
      </c>
      <c r="I6" s="1">
        <v>5.83507300964479E-5</v>
      </c>
      <c r="J6" s="1">
        <v>6.0963487408647601E-5</v>
      </c>
      <c r="K6" s="1">
        <v>6.3518825740414898E-5</v>
      </c>
    </row>
    <row r="7" spans="1:11" x14ac:dyDescent="0.25">
      <c r="A7" t="s">
        <v>12</v>
      </c>
      <c r="B7" s="1">
        <v>4.16011553209133E-5</v>
      </c>
      <c r="C7" s="1">
        <v>4.2954859321400898E-5</v>
      </c>
      <c r="D7" s="1">
        <v>4.4294673746094898E-5</v>
      </c>
      <c r="E7" s="1">
        <v>4.56201666847009E-5</v>
      </c>
      <c r="F7" s="1">
        <v>4.6931073660821097E-5</v>
      </c>
      <c r="G7" s="1">
        <v>4.8227268044603302E-5</v>
      </c>
      <c r="H7" s="1">
        <v>4.9508735577474197E-5</v>
      </c>
      <c r="I7" s="1">
        <v>5.20278697958988E-5</v>
      </c>
      <c r="J7" s="1">
        <v>5.4489880028012098E-5</v>
      </c>
      <c r="K7" s="1">
        <v>5.6896921925458601E-5</v>
      </c>
    </row>
    <row r="8" spans="1:11" x14ac:dyDescent="0.25">
      <c r="A8" t="s">
        <v>14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t="s">
        <v>16</v>
      </c>
      <c r="B9">
        <v>0</v>
      </c>
      <c r="C9">
        <f>B9-0.15</f>
        <v>-0.15</v>
      </c>
      <c r="D9">
        <f t="shared" ref="D9:H9" si="2">C9-0.15</f>
        <v>-0.3</v>
      </c>
      <c r="E9">
        <f t="shared" si="2"/>
        <v>-0.44999999999999996</v>
      </c>
      <c r="F9">
        <f t="shared" si="2"/>
        <v>-0.6</v>
      </c>
      <c r="G9">
        <f t="shared" si="2"/>
        <v>-0.75</v>
      </c>
      <c r="H9">
        <f t="shared" si="2"/>
        <v>-0.9</v>
      </c>
      <c r="I9">
        <f>H9-0.3</f>
        <v>-1.2</v>
      </c>
      <c r="J9">
        <f t="shared" ref="J9:K9" si="3">I9-0.3</f>
        <v>-1.5</v>
      </c>
      <c r="K9">
        <f t="shared" si="3"/>
        <v>-1.8</v>
      </c>
    </row>
    <row r="10" spans="1:11" x14ac:dyDescent="0.25">
      <c r="A10" t="s">
        <v>15</v>
      </c>
      <c r="B10" s="1">
        <v>2.40402736194643E-6</v>
      </c>
      <c r="C10" s="1">
        <v>2.8068037731792902E-6</v>
      </c>
      <c r="D10" s="1">
        <v>3.2493021565335602E-6</v>
      </c>
      <c r="E10" s="1">
        <v>3.73120121473778E-6</v>
      </c>
      <c r="F10" s="1">
        <v>4.2517457188377303E-6</v>
      </c>
      <c r="G10" s="1">
        <v>4.8097935861463897E-6</v>
      </c>
      <c r="H10" s="1">
        <v>5.4038776584279203E-6</v>
      </c>
      <c r="I10" s="1">
        <v>6.6931021468552003E-6</v>
      </c>
      <c r="J10" s="1">
        <v>8.1039834202929398E-6</v>
      </c>
      <c r="K10" s="1">
        <v>9.6202483055901507E-6</v>
      </c>
    </row>
    <row r="11" spans="1:11" x14ac:dyDescent="0.25">
      <c r="A11" t="s">
        <v>10</v>
      </c>
      <c r="B11" s="1">
        <v>1.7350576876927701E-6</v>
      </c>
      <c r="C11" s="1">
        <v>2.06350279419538E-6</v>
      </c>
      <c r="D11" s="1">
        <v>2.4304015063915001E-6</v>
      </c>
      <c r="E11" s="1">
        <v>2.83615220966797E-6</v>
      </c>
      <c r="F11" s="1">
        <v>3.2806774115407701E-6</v>
      </c>
      <c r="G11" s="1">
        <v>3.7634478162114601E-6</v>
      </c>
      <c r="H11" s="1">
        <v>4.2835257278793104E-6</v>
      </c>
      <c r="I11" s="1">
        <v>5.4302014211502502E-6</v>
      </c>
      <c r="J11" s="1">
        <v>6.7076880697990697E-6</v>
      </c>
      <c r="K11" s="1">
        <v>8.1009908324326507E-6</v>
      </c>
    </row>
    <row r="12" spans="1:11" x14ac:dyDescent="0.25">
      <c r="A12" t="s">
        <v>11</v>
      </c>
      <c r="B12" s="1">
        <v>1.1662245543765401E-6</v>
      </c>
      <c r="C12" s="1">
        <v>1.4180748137149401E-6</v>
      </c>
      <c r="D12" s="1">
        <v>1.70521339682267E-6</v>
      </c>
      <c r="E12" s="1">
        <v>2.02879372981424E-6</v>
      </c>
      <c r="F12" s="1">
        <v>2.3895026340618001E-6</v>
      </c>
      <c r="G12" s="1">
        <v>2.78755497154301E-6</v>
      </c>
      <c r="H12" s="1">
        <v>3.2227068697545601E-6</v>
      </c>
      <c r="I12" s="1">
        <v>4.2012806859203699E-6</v>
      </c>
      <c r="J12" s="1">
        <v>5.3160102181752198E-6</v>
      </c>
      <c r="K12" s="1">
        <v>6.5543379708073304E-6</v>
      </c>
    </row>
    <row r="13" spans="1:11" x14ac:dyDescent="0.25">
      <c r="A13" t="s">
        <v>12</v>
      </c>
      <c r="B13" s="1">
        <v>7.0189711451447798E-7</v>
      </c>
      <c r="C13" s="1">
        <v>8.7699421908657897E-7</v>
      </c>
      <c r="D13" s="1">
        <v>1.0817082497951E-6</v>
      </c>
      <c r="E13" s="1">
        <v>1.31779612186256E-6</v>
      </c>
      <c r="F13" s="1">
        <v>1.5866241129206299E-6</v>
      </c>
      <c r="G13" s="1">
        <v>1.8891369280960101E-6</v>
      </c>
      <c r="H13" s="1">
        <v>2.2258400293044099E-6</v>
      </c>
      <c r="I13" s="1">
        <v>3.00167369032738E-6</v>
      </c>
      <c r="J13" s="1">
        <v>3.9100655347917697E-6</v>
      </c>
      <c r="K13" s="1">
        <v>4.9424319141022697E-6</v>
      </c>
    </row>
    <row r="20" spans="1:11" x14ac:dyDescent="0.25">
      <c r="A20" t="str">
        <f>A2</f>
        <v>Vds=0.9V</v>
      </c>
    </row>
    <row r="21" spans="1:11" x14ac:dyDescent="0.25">
      <c r="A21" t="str">
        <f t="shared" ref="A21" si="4">A3</f>
        <v>FBBP</v>
      </c>
      <c r="B21">
        <v>0</v>
      </c>
      <c r="C21">
        <v>-0.15</v>
      </c>
      <c r="D21">
        <v>-0.3</v>
      </c>
      <c r="E21">
        <v>-0.44999999999999996</v>
      </c>
      <c r="F21">
        <v>-0.6</v>
      </c>
      <c r="G21">
        <v>-0.75</v>
      </c>
      <c r="H21">
        <v>-0.9</v>
      </c>
      <c r="I21">
        <v>-1.2</v>
      </c>
      <c r="J21">
        <v>-1.5</v>
      </c>
      <c r="K21">
        <v>-1.8</v>
      </c>
    </row>
    <row r="22" spans="1:11" x14ac:dyDescent="0.25">
      <c r="A22" t="s">
        <v>15</v>
      </c>
      <c r="B22" s="2">
        <f>B4*1000000</f>
        <v>55.062792782260701</v>
      </c>
      <c r="C22" s="2">
        <f t="shared" ref="C22:K23" si="5">C4*1000000</f>
        <v>56.554606695855099</v>
      </c>
      <c r="D22" s="2">
        <f t="shared" si="5"/>
        <v>58.0312693723195</v>
      </c>
      <c r="E22" s="2">
        <f t="shared" si="5"/>
        <v>59.492571131941403</v>
      </c>
      <c r="F22" s="2">
        <f t="shared" si="5"/>
        <v>60.938429122168195</v>
      </c>
      <c r="G22" s="2">
        <f t="shared" si="5"/>
        <v>62.368862925556201</v>
      </c>
      <c r="H22" s="2">
        <f t="shared" si="5"/>
        <v>63.783974038833591</v>
      </c>
      <c r="I22" s="2">
        <f t="shared" si="5"/>
        <v>66.568946650641507</v>
      </c>
      <c r="J22" s="2">
        <f t="shared" si="5"/>
        <v>69.295239265501806</v>
      </c>
      <c r="K22" s="2">
        <f t="shared" si="5"/>
        <v>71.965276289181404</v>
      </c>
    </row>
    <row r="23" spans="1:11" x14ac:dyDescent="0.25">
      <c r="A23" t="str">
        <f>A5</f>
        <v>PB=4n</v>
      </c>
      <c r="B23" s="2">
        <f>B5*1000000</f>
        <v>51.513412066488797</v>
      </c>
      <c r="C23" s="2">
        <f t="shared" si="5"/>
        <v>52.988634938623299</v>
      </c>
      <c r="D23" s="2">
        <f t="shared" si="5"/>
        <v>54.448550037865701</v>
      </c>
      <c r="E23" s="2">
        <f t="shared" si="5"/>
        <v>55.892888044259706</v>
      </c>
      <c r="F23" s="2">
        <f t="shared" si="5"/>
        <v>57.3215213591007</v>
      </c>
      <c r="G23" s="2">
        <f t="shared" si="5"/>
        <v>58.734437749344899</v>
      </c>
      <c r="H23" s="2">
        <f t="shared" si="5"/>
        <v>60.131718006262105</v>
      </c>
      <c r="I23" s="2">
        <f t="shared" si="5"/>
        <v>62.880051211511301</v>
      </c>
      <c r="J23" s="2">
        <f t="shared" si="5"/>
        <v>65.568408078559301</v>
      </c>
      <c r="K23" s="2">
        <f t="shared" si="5"/>
        <v>68.19928910034109</v>
      </c>
    </row>
    <row r="24" spans="1:11" x14ac:dyDescent="0.25">
      <c r="A24" t="str">
        <f>A6</f>
        <v>PB=8n</v>
      </c>
      <c r="B24" s="2">
        <f t="shared" ref="B24:K24" si="6">B6*1000000</f>
        <v>47.2889391709706</v>
      </c>
      <c r="C24" s="2">
        <f t="shared" si="6"/>
        <v>48.725515965182602</v>
      </c>
      <c r="D24" s="2">
        <f t="shared" si="6"/>
        <v>50.147042015632799</v>
      </c>
      <c r="E24" s="2">
        <f t="shared" si="6"/>
        <v>51.553180810655299</v>
      </c>
      <c r="F24" s="2">
        <f t="shared" si="6"/>
        <v>52.943751737202199</v>
      </c>
      <c r="G24" s="2">
        <f t="shared" si="6"/>
        <v>54.318701772864102</v>
      </c>
      <c r="H24" s="2">
        <f t="shared" si="6"/>
        <v>55.6780813090595</v>
      </c>
      <c r="I24" s="2">
        <f t="shared" si="6"/>
        <v>58.350730096447897</v>
      </c>
      <c r="J24" s="2">
        <f t="shared" si="6"/>
        <v>60.963487408647602</v>
      </c>
      <c r="K24" s="2">
        <f t="shared" si="6"/>
        <v>63.518825740414897</v>
      </c>
    </row>
    <row r="25" spans="1:11" x14ac:dyDescent="0.25">
      <c r="A25" t="str">
        <f>A7</f>
        <v>PB=16n</v>
      </c>
      <c r="B25" s="2">
        <f t="shared" ref="B25:K25" si="7">B7*1000000</f>
        <v>41.6011553209133</v>
      </c>
      <c r="C25" s="2">
        <f t="shared" si="7"/>
        <v>42.954859321400896</v>
      </c>
      <c r="D25" s="2">
        <f t="shared" si="7"/>
        <v>44.294673746094901</v>
      </c>
      <c r="E25" s="2">
        <f t="shared" si="7"/>
        <v>45.620166684700898</v>
      </c>
      <c r="F25" s="2">
        <f t="shared" si="7"/>
        <v>46.931073660821099</v>
      </c>
      <c r="G25" s="2">
        <f t="shared" si="7"/>
        <v>48.227268044603299</v>
      </c>
      <c r="H25" s="2">
        <f t="shared" si="7"/>
        <v>49.508735577474198</v>
      </c>
      <c r="I25" s="2">
        <f t="shared" si="7"/>
        <v>52.027869795898802</v>
      </c>
      <c r="J25" s="2">
        <f t="shared" si="7"/>
        <v>54.489880028012095</v>
      </c>
      <c r="K25" s="2">
        <f t="shared" si="7"/>
        <v>56.896921925458599</v>
      </c>
    </row>
    <row r="26" spans="1:11" x14ac:dyDescent="0.25">
      <c r="A26" t="str">
        <f>A8</f>
        <v>Vds=0.45V</v>
      </c>
    </row>
    <row r="27" spans="1:11" x14ac:dyDescent="0.25">
      <c r="A27" t="str">
        <f>A9</f>
        <v>FBBP</v>
      </c>
      <c r="B27">
        <v>0</v>
      </c>
      <c r="C27">
        <v>-0.15</v>
      </c>
      <c r="D27">
        <v>-0.3</v>
      </c>
      <c r="E27">
        <v>-0.44999999999999996</v>
      </c>
      <c r="F27">
        <v>-0.6</v>
      </c>
      <c r="G27">
        <v>-0.75</v>
      </c>
      <c r="H27">
        <v>-0.9</v>
      </c>
      <c r="I27">
        <v>-1.2</v>
      </c>
      <c r="J27">
        <v>-1.5</v>
      </c>
      <c r="K27">
        <v>-1.8</v>
      </c>
    </row>
    <row r="28" spans="1:11" x14ac:dyDescent="0.25">
      <c r="A28" t="s">
        <v>15</v>
      </c>
      <c r="B28" s="2">
        <f>B10*1000000</f>
        <v>2.4040273619464299</v>
      </c>
      <c r="C28" s="2">
        <f t="shared" ref="C28:K28" si="8">C10*1000000</f>
        <v>2.8068037731792903</v>
      </c>
      <c r="D28" s="2">
        <f t="shared" si="8"/>
        <v>3.24930215653356</v>
      </c>
      <c r="E28" s="2">
        <f t="shared" si="8"/>
        <v>3.73120121473778</v>
      </c>
      <c r="F28" s="2">
        <f t="shared" si="8"/>
        <v>4.2517457188377303</v>
      </c>
      <c r="G28" s="2">
        <f t="shared" si="8"/>
        <v>4.8097935861463901</v>
      </c>
      <c r="H28" s="2">
        <f t="shared" si="8"/>
        <v>5.4038776584279207</v>
      </c>
      <c r="I28" s="2">
        <f t="shared" si="8"/>
        <v>6.6931021468552006</v>
      </c>
      <c r="J28" s="2">
        <f t="shared" si="8"/>
        <v>8.1039834202929395</v>
      </c>
      <c r="K28" s="2">
        <f t="shared" si="8"/>
        <v>9.6202483055901507</v>
      </c>
    </row>
    <row r="29" spans="1:11" x14ac:dyDescent="0.25">
      <c r="A29" t="str">
        <f>A11</f>
        <v>PB=4n</v>
      </c>
      <c r="B29" s="2">
        <f t="shared" ref="B29:K29" si="9">B11*1000000</f>
        <v>1.7350576876927701</v>
      </c>
      <c r="C29" s="2">
        <f t="shared" si="9"/>
        <v>2.0635027941953799</v>
      </c>
      <c r="D29" s="2">
        <f t="shared" si="9"/>
        <v>2.4304015063915001</v>
      </c>
      <c r="E29" s="2">
        <f t="shared" si="9"/>
        <v>2.8361522096679699</v>
      </c>
      <c r="F29" s="2">
        <f t="shared" si="9"/>
        <v>3.2806774115407702</v>
      </c>
      <c r="G29" s="2">
        <f t="shared" si="9"/>
        <v>3.76344781621146</v>
      </c>
      <c r="H29" s="2">
        <f t="shared" si="9"/>
        <v>4.2835257278793106</v>
      </c>
      <c r="I29" s="2">
        <f t="shared" si="9"/>
        <v>5.4302014211502501</v>
      </c>
      <c r="J29" s="2">
        <f t="shared" si="9"/>
        <v>6.7076880697990697</v>
      </c>
      <c r="K29" s="2">
        <f t="shared" si="9"/>
        <v>8.1009908324326503</v>
      </c>
    </row>
    <row r="30" spans="1:11" x14ac:dyDescent="0.25">
      <c r="A30" t="str">
        <f>A12</f>
        <v>PB=8n</v>
      </c>
      <c r="B30" s="2">
        <f t="shared" ref="B30:K30" si="10">B12*1000000</f>
        <v>1.1662245543765402</v>
      </c>
      <c r="C30" s="2">
        <f t="shared" si="10"/>
        <v>1.4180748137149402</v>
      </c>
      <c r="D30" s="2">
        <f t="shared" si="10"/>
        <v>1.7052133968226701</v>
      </c>
      <c r="E30" s="2">
        <f t="shared" si="10"/>
        <v>2.02879372981424</v>
      </c>
      <c r="F30" s="2">
        <f t="shared" si="10"/>
        <v>2.3895026340618002</v>
      </c>
      <c r="G30" s="2">
        <f t="shared" si="10"/>
        <v>2.7875549715430101</v>
      </c>
      <c r="H30" s="2">
        <f t="shared" si="10"/>
        <v>3.22270686975456</v>
      </c>
      <c r="I30" s="2">
        <f t="shared" si="10"/>
        <v>4.20128068592037</v>
      </c>
      <c r="J30" s="2">
        <f t="shared" si="10"/>
        <v>5.3160102181752196</v>
      </c>
      <c r="K30" s="2">
        <f t="shared" si="10"/>
        <v>6.5543379708073299</v>
      </c>
    </row>
    <row r="31" spans="1:11" x14ac:dyDescent="0.25">
      <c r="A31" t="str">
        <f>A13</f>
        <v>PB=16n</v>
      </c>
      <c r="B31" s="2">
        <f t="shared" ref="B31:K31" si="11">B13*1000000</f>
        <v>0.701897114514478</v>
      </c>
      <c r="C31" s="2">
        <f t="shared" si="11"/>
        <v>0.87699421908657893</v>
      </c>
      <c r="D31" s="2">
        <f t="shared" si="11"/>
        <v>1.0817082497951001</v>
      </c>
      <c r="E31" s="2">
        <f t="shared" si="11"/>
        <v>1.31779612186256</v>
      </c>
      <c r="F31" s="2">
        <f t="shared" si="11"/>
        <v>1.58662411292063</v>
      </c>
      <c r="G31" s="2">
        <f t="shared" si="11"/>
        <v>1.8891369280960102</v>
      </c>
      <c r="H31" s="2">
        <f t="shared" si="11"/>
        <v>2.2258400293044098</v>
      </c>
      <c r="I31" s="2">
        <f t="shared" si="11"/>
        <v>3.00167369032738</v>
      </c>
      <c r="J31" s="2">
        <f t="shared" si="11"/>
        <v>3.9100655347917699</v>
      </c>
      <c r="K31" s="2">
        <f t="shared" si="11"/>
        <v>4.9424319141022695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lvt_nfet_b_Idssat_vs_FBBN_and_P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2022-01-01T04:24:49Z</dcterms:created>
  <dcterms:modified xsi:type="dcterms:W3CDTF">2022-01-01T08:20:53Z</dcterms:modified>
</cp:coreProperties>
</file>