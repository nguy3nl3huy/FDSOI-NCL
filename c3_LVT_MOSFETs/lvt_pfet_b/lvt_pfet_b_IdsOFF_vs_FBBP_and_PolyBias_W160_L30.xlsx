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pfet_b/Final Data/"/>
    </mc:Choice>
  </mc:AlternateContent>
  <xr:revisionPtr revIDLastSave="0" documentId="13_ncr:1_{46290F19-118E-414A-894A-BEA946EB8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vt_nfet_b_Idssat_vs_FBBN_and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B29" i="1"/>
  <c r="K28" i="1"/>
  <c r="J28" i="1"/>
  <c r="I28" i="1"/>
  <c r="H28" i="1"/>
  <c r="G28" i="1"/>
  <c r="F28" i="1"/>
  <c r="E28" i="1"/>
  <c r="D28" i="1"/>
  <c r="C28" i="1"/>
  <c r="B28" i="1"/>
  <c r="K25" i="1"/>
  <c r="J25" i="1"/>
  <c r="I25" i="1"/>
  <c r="H25" i="1"/>
  <c r="G25" i="1"/>
  <c r="F25" i="1"/>
  <c r="E25" i="1"/>
  <c r="D25" i="1"/>
  <c r="C25" i="1"/>
  <c r="B25" i="1"/>
  <c r="K24" i="1"/>
  <c r="J24" i="1"/>
  <c r="I24" i="1"/>
  <c r="H24" i="1"/>
  <c r="G24" i="1"/>
  <c r="F24" i="1"/>
  <c r="E24" i="1"/>
  <c r="D24" i="1"/>
  <c r="C24" i="1"/>
  <c r="B24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A21" i="1"/>
  <c r="D9" i="1"/>
  <c r="E9" i="1" s="1"/>
  <c r="F9" i="1" s="1"/>
  <c r="G9" i="1" s="1"/>
  <c r="H9" i="1" s="1"/>
  <c r="I9" i="1" s="1"/>
  <c r="J9" i="1" s="1"/>
  <c r="K9" i="1" s="1"/>
  <c r="C9" i="1"/>
  <c r="J3" i="1"/>
  <c r="K3" i="1" s="1"/>
  <c r="I3" i="1"/>
  <c r="D3" i="1"/>
  <c r="E3" i="1" s="1"/>
  <c r="F3" i="1" s="1"/>
  <c r="G3" i="1" s="1"/>
  <c r="H3" i="1" s="1"/>
  <c r="C3" i="1"/>
  <c r="A29" i="1"/>
  <c r="A30" i="1"/>
  <c r="A31" i="1"/>
  <c r="A23" i="1"/>
  <c r="A24" i="1"/>
  <c r="A25" i="1"/>
  <c r="A26" i="1"/>
  <c r="A27" i="1"/>
  <c r="A20" i="1"/>
</calcChain>
</file>

<file path=xl/sharedStrings.xml><?xml version="1.0" encoding="utf-8"?>
<sst xmlns="http://schemas.openxmlformats.org/spreadsheetml/2006/main" count="24" uniqueCount="17">
  <si>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</si>
  <si>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</si>
  <si>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</si>
  <si>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</si>
  <si>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</si>
  <si>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</si>
  <si>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</si>
  <si>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</si>
  <si>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</si>
  <si>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</si>
  <si>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PB=4n</t>
  </si>
  <si>
    <t>PB=8n</t>
  </si>
  <si>
    <t>PB=16n</t>
  </si>
  <si>
    <t>Vds=0.9V</t>
  </si>
  <si>
    <t>Vds=0.45V</t>
  </si>
  <si>
    <t>No PB</t>
  </si>
  <si>
    <t>FBBP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</si>
</sst>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FBBN and</a:t>
            </a:r>
            <a:r>
              <a:rPr lang="en-AU" baseline="0"/>
              <a:t> PB (@Vds=0.9V, W=80n,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lvt_nfet_b_Idssat_vs_FBBN_and_P!$A$22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lvt_nfet_b_Idssat_vs_FBBN_and_P!$B$22:$K$22</c:f>
              <c:numCache>
                <c:formatCode>0.00E+00</c:formatCode>
                <c:ptCount val="10"/>
                <c:pt idx="0">
                  <c:v>7.2909097742376204E-10</c:v>
                </c:pt>
                <c:pt idx="1">
                  <c:v>1.0468287234089301E-9</c:v>
                </c:pt>
                <c:pt idx="2">
                  <c:v>1.4986087098949701E-9</c:v>
                </c:pt>
                <c:pt idx="3">
                  <c:v>2.1387975256982398E-9</c:v>
                </c:pt>
                <c:pt idx="4">
                  <c:v>3.0427410181188E-9</c:v>
                </c:pt>
                <c:pt idx="5">
                  <c:v>4.3143159372936798E-9</c:v>
                </c:pt>
                <c:pt idx="6">
                  <c:v>6.0959019232935299E-9</c:v>
                </c:pt>
                <c:pt idx="7">
                  <c:v>1.20326454329494E-8</c:v>
                </c:pt>
                <c:pt idx="8">
                  <c:v>2.33490747488926E-8</c:v>
                </c:pt>
                <c:pt idx="9">
                  <c:v>4.4386514995604898E-8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1-4DF0-BFCD-8D9DCCE0796C}"/>
            </c:ext>
          </c:extLst>
        </c:ser>
        <c:ser>
          <c:idx val="2"/>
          <c:order val="1"/>
          <c:tx>
            <c:strRef>
              <c:f>lvt_nfet_b_Idssat_vs_FBBN_and_P!$A$23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lvt_nfet_b_Idssat_vs_FBBN_and_P!$B$23:$K$23</c:f>
              <c:numCache>
                <c:formatCode>0.00E+00</c:formatCode>
                <c:ptCount val="10"/>
                <c:pt idx="0">
                  <c:v>2.0084544386444799E-10</c:v>
                </c:pt>
                <c:pt idx="1">
                  <c:v>2.9154128172998298E-10</c:v>
                </c:pt>
                <c:pt idx="2">
                  <c:v>4.2215708027611401E-10</c:v>
                </c:pt>
                <c:pt idx="3">
                  <c:v>6.09741783802207E-10</c:v>
                </c:pt>
                <c:pt idx="4">
                  <c:v>8.7836700798039599E-10</c:v>
                </c:pt>
                <c:pt idx="5">
                  <c:v>1.2618897545857001E-9</c:v>
                </c:pt>
                <c:pt idx="6">
                  <c:v>1.80773365090505E-9</c:v>
                </c:pt>
                <c:pt idx="7">
                  <c:v>3.67650656454005E-9</c:v>
                </c:pt>
                <c:pt idx="8">
                  <c:v>7.3791589681851402E-9</c:v>
                </c:pt>
                <c:pt idx="9">
                  <c:v>1.45879232164931E-8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1-4DF0-BFCD-8D9DCCE0796C}"/>
            </c:ext>
          </c:extLst>
        </c:ser>
        <c:ser>
          <c:idx val="3"/>
          <c:order val="2"/>
          <c:tx>
            <c:strRef>
              <c:f>lvt_nfet_b_Idssat_vs_FBBN_and_P!$A$24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lvt_nfet_b_Idssat_vs_FBBN_and_P!$B$24:$K$24</c:f>
              <c:numCache>
                <c:formatCode>0.00E+00</c:formatCode>
                <c:ptCount val="10"/>
                <c:pt idx="0">
                  <c:v>4.8725210067640397E-11</c:v>
                </c:pt>
                <c:pt idx="1">
                  <c:v>7.1385210700427203E-11</c:v>
                </c:pt>
                <c:pt idx="2">
                  <c:v>1.0438162357336699E-10</c:v>
                </c:pt>
                <c:pt idx="3">
                  <c:v>1.5232268861734999E-10</c:v>
                </c:pt>
                <c:pt idx="4">
                  <c:v>2.2181771880519201E-10</c:v>
                </c:pt>
                <c:pt idx="5">
                  <c:v>3.2231924107139199E-10</c:v>
                </c:pt>
                <c:pt idx="6">
                  <c:v>4.6730578812537596E-10</c:v>
                </c:pt>
                <c:pt idx="7">
                  <c:v>9.7534763605644701E-10</c:v>
                </c:pt>
                <c:pt idx="8">
                  <c:v>2.0152505669640998E-9</c:v>
                </c:pt>
                <c:pt idx="9">
                  <c:v>4.1175423573183503E-9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1-4DF0-BFCD-8D9DCCE0796C}"/>
            </c:ext>
          </c:extLst>
        </c:ser>
        <c:ser>
          <c:idx val="0"/>
          <c:order val="3"/>
          <c:tx>
            <c:strRef>
              <c:f>lvt_nfet_b_Idssat_vs_FBBN_and_P!$A$25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lvt_nfet_b_Idssat_vs_FBBN_and_P!$B$25:$K$25</c:f>
              <c:numCache>
                <c:formatCode>0.00E+00</c:formatCode>
                <c:ptCount val="10"/>
                <c:pt idx="0">
                  <c:v>9.1559046868777199E-12</c:v>
                </c:pt>
                <c:pt idx="1">
                  <c:v>1.3511005554116E-11</c:v>
                </c:pt>
                <c:pt idx="2">
                  <c:v>1.9915920963200601E-11</c:v>
                </c:pt>
                <c:pt idx="3">
                  <c:v>2.9319697225025201E-11</c:v>
                </c:pt>
                <c:pt idx="4">
                  <c:v>4.3102828567681701E-11</c:v>
                </c:pt>
                <c:pt idx="5">
                  <c:v>6.3269396785799098E-11</c:v>
                </c:pt>
                <c:pt idx="6">
                  <c:v>9.2722748096203704E-11</c:v>
                </c:pt>
                <c:pt idx="7">
                  <c:v>1.9813471262255099E-10</c:v>
                </c:pt>
                <c:pt idx="8">
                  <c:v>4.2033107565474098E-10</c:v>
                </c:pt>
                <c:pt idx="9">
                  <c:v>8.8474980558422405E-10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B1-4DF0-BFCD-8D9DCCE0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984200"/>
        <c:axId val="510978296"/>
      </c:lineChart>
      <c:catAx>
        <c:axId val="51098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78296"/>
        <c:crosses val="autoZero"/>
        <c:auto val="1"/>
        <c:lblAlgn val="ctr"/>
        <c:lblOffset val="100"/>
        <c:noMultiLvlLbl val="0"/>
      </c:catAx>
      <c:valAx>
        <c:axId val="51097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FBBN and PB (@Vds=0.45V, W=80n, L=30n)</a:t>
            </a:r>
            <a:endParaRPr lang="en-AU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lvt_nfet_b_Idssat_vs_FBBN_and_P!$A$28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lvt_nfet_b_Idssat_vs_FBBN_and_P!$B$28:$K$28</c:f>
              <c:numCache>
                <c:formatCode>0.00E+00</c:formatCode>
                <c:ptCount val="10"/>
                <c:pt idx="0">
                  <c:v>9.8546441731045403E-11</c:v>
                </c:pt>
                <c:pt idx="1">
                  <c:v>1.4251758427007201E-10</c:v>
                </c:pt>
                <c:pt idx="2">
                  <c:v>2.0559443629711701E-10</c:v>
                </c:pt>
                <c:pt idx="3">
                  <c:v>2.9581885000052801E-10</c:v>
                </c:pt>
                <c:pt idx="4">
                  <c:v>4.2449139178898501E-10</c:v>
                </c:pt>
                <c:pt idx="5">
                  <c:v>6.0743096076360597E-10</c:v>
                </c:pt>
                <c:pt idx="6">
                  <c:v>8.6669162958640903E-10</c:v>
                </c:pt>
                <c:pt idx="7">
                  <c:v>1.7483197450554999E-9</c:v>
                </c:pt>
                <c:pt idx="8">
                  <c:v>3.4808676016403701E-9</c:v>
                </c:pt>
                <c:pt idx="9">
                  <c:v>6.8309826281816302E-9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8-47EA-BDC9-9FB6281B3D80}"/>
            </c:ext>
          </c:extLst>
        </c:ser>
        <c:ser>
          <c:idx val="1"/>
          <c:order val="1"/>
          <c:tx>
            <c:strRef>
              <c:f>lvt_nfet_b_Idssat_vs_FBBN_and_P!$A$29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lvt_nfet_b_Idssat_vs_FBBN_and_P!$B$29:$K$29</c:f>
              <c:numCache>
                <c:formatCode>0.00E+00</c:formatCode>
                <c:ptCount val="10"/>
                <c:pt idx="0">
                  <c:v>2.9766186323973397E-11</c:v>
                </c:pt>
                <c:pt idx="1">
                  <c:v>4.3442551248007598E-11</c:v>
                </c:pt>
                <c:pt idx="2">
                  <c:v>6.3268647007968598E-11</c:v>
                </c:pt>
                <c:pt idx="3">
                  <c:v>9.1940658910052206E-11</c:v>
                </c:pt>
                <c:pt idx="4">
                  <c:v>1.3330258400180099E-10</c:v>
                </c:pt>
                <c:pt idx="5">
                  <c:v>1.92818065343203E-10</c:v>
                </c:pt>
                <c:pt idx="6">
                  <c:v>2.7822791176917599E-10</c:v>
                </c:pt>
                <c:pt idx="7">
                  <c:v>5.7489943130061495E-10</c:v>
                </c:pt>
                <c:pt idx="8">
                  <c:v>1.1751372282285499E-9</c:v>
                </c:pt>
                <c:pt idx="9">
                  <c:v>2.3740504834686299E-9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8-47EA-BDC9-9FB6281B3D80}"/>
            </c:ext>
          </c:extLst>
        </c:ser>
        <c:ser>
          <c:idx val="2"/>
          <c:order val="2"/>
          <c:tx>
            <c:strRef>
              <c:f>lvt_nfet_b_Idssat_vs_FBBN_and_P!$A$30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lvt_nfet_b_Idssat_vs_FBBN_and_P!$B$30:$K$30</c:f>
              <c:numCache>
                <c:formatCode>0.00E+00</c:formatCode>
                <c:ptCount val="10"/>
                <c:pt idx="0">
                  <c:v>8.0286707912405196E-12</c:v>
                </c:pt>
                <c:pt idx="1">
                  <c:v>1.18103302608666E-11</c:v>
                </c:pt>
                <c:pt idx="2">
                  <c:v>1.73429026880775E-11</c:v>
                </c:pt>
                <c:pt idx="3">
                  <c:v>2.5421154274055E-11</c:v>
                </c:pt>
                <c:pt idx="4">
                  <c:v>3.7192591843829102E-11</c:v>
                </c:pt>
                <c:pt idx="5">
                  <c:v>5.43100284574703E-11</c:v>
                </c:pt>
                <c:pt idx="6">
                  <c:v>7.9148153306184399E-11</c:v>
                </c:pt>
                <c:pt idx="7">
                  <c:v>1.67058844642573E-10</c:v>
                </c:pt>
                <c:pt idx="8">
                  <c:v>3.4955746953873801E-10</c:v>
                </c:pt>
                <c:pt idx="9">
                  <c:v>7.2464221625103596E-10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8-47EA-BDC9-9FB6281B3D80}"/>
            </c:ext>
          </c:extLst>
        </c:ser>
        <c:ser>
          <c:idx val="3"/>
          <c:order val="3"/>
          <c:tx>
            <c:strRef>
              <c:f>lvt_nfet_b_Idssat_vs_FBBN_and_P!$A$31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lvt_nfet_b_Idssat_vs_FBBN_and_P!$B$31:$K$31</c:f>
              <c:numCache>
                <c:formatCode>0.00E+00</c:formatCode>
                <c:ptCount val="10"/>
                <c:pt idx="0">
                  <c:v>1.72419001052349E-12</c:v>
                </c:pt>
                <c:pt idx="1">
                  <c:v>2.5540733590882198E-12</c:v>
                </c:pt>
                <c:pt idx="2">
                  <c:v>3.7782758524350399E-12</c:v>
                </c:pt>
                <c:pt idx="3">
                  <c:v>5.5814347992976699E-12</c:v>
                </c:pt>
                <c:pt idx="4">
                  <c:v>8.2332527421677506E-12</c:v>
                </c:pt>
                <c:pt idx="5">
                  <c:v>1.2126987690733099E-11</c:v>
                </c:pt>
                <c:pt idx="6">
                  <c:v>1.78350083468045E-11</c:v>
                </c:pt>
                <c:pt idx="7">
                  <c:v>3.8393950955615003E-11</c:v>
                </c:pt>
                <c:pt idx="8">
                  <c:v>8.2110600425274903E-11</c:v>
                </c:pt>
                <c:pt idx="9">
                  <c:v>1.7439162951400901E-10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8-47EA-BDC9-9FB6281B3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981912"/>
        <c:axId val="503982240"/>
      </c:lineChart>
      <c:catAx>
        <c:axId val="503981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2240"/>
        <c:crosses val="autoZero"/>
        <c:auto val="1"/>
        <c:lblAlgn val="ctr"/>
        <c:lblOffset val="100"/>
        <c:noMultiLvlLbl val="0"/>
      </c:catAx>
      <c:valAx>
        <c:axId val="5039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14</xdr:row>
      <xdr:rowOff>157162</xdr:rowOff>
    </xdr:from>
    <xdr:to>
      <xdr:col>19</xdr:col>
      <xdr:colOff>371475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231B7-6247-46A0-BA13-4548D0D7B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32</xdr:row>
      <xdr:rowOff>90487</xdr:rowOff>
    </xdr:from>
    <xdr:to>
      <xdr:col>19</xdr:col>
      <xdr:colOff>428625</xdr:colOff>
      <xdr:row>46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29C28B-1C4B-479D-B274-F12FE519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R8" sqref="R8"/>
    </sheetView>
  </sheetViews>
  <sheetFormatPr defaultRowHeight="15" x14ac:dyDescent="0.25"/>
  <cols>
    <col min="1" max="1" width="10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13</v>
      </c>
    </row>
    <row r="3" spans="1:11" x14ac:dyDescent="0.25">
      <c r="A3" t="s">
        <v>16</v>
      </c>
      <c r="B3">
        <v>0</v>
      </c>
      <c r="C3">
        <f>B3-0.15</f>
        <v>-0.15</v>
      </c>
      <c r="D3">
        <f t="shared" ref="D3:H3" si="0">C3-0.15</f>
        <v>-0.3</v>
      </c>
      <c r="E3">
        <f t="shared" si="0"/>
        <v>-0.44999999999999996</v>
      </c>
      <c r="F3">
        <f t="shared" si="0"/>
        <v>-0.6</v>
      </c>
      <c r="G3">
        <f t="shared" si="0"/>
        <v>-0.75</v>
      </c>
      <c r="H3">
        <f t="shared" si="0"/>
        <v>-0.9</v>
      </c>
      <c r="I3">
        <f>H3-0.3</f>
        <v>-1.2</v>
      </c>
      <c r="J3">
        <f t="shared" ref="J3:K3" si="1">I3-0.3</f>
        <v>-1.5</v>
      </c>
      <c r="K3">
        <f t="shared" si="1"/>
        <v>-1.8</v>
      </c>
    </row>
    <row r="4" spans="1:11" x14ac:dyDescent="0.25">
      <c r="A4" t="s">
        <v>15</v>
      </c>
      <c r="B4" s="1">
        <v>7.2909097742376204E-10</v>
      </c>
      <c r="C4" s="1">
        <v>1.0468287234089301E-9</v>
      </c>
      <c r="D4" s="1">
        <v>1.4986087098949701E-9</v>
      </c>
      <c r="E4" s="1">
        <v>2.1387975256982398E-9</v>
      </c>
      <c r="F4" s="1">
        <v>3.0427410181188E-9</v>
      </c>
      <c r="G4" s="1">
        <v>4.3143159372936798E-9</v>
      </c>
      <c r="H4" s="1">
        <v>6.0959019232935299E-9</v>
      </c>
      <c r="I4" s="1">
        <v>1.20326454329494E-8</v>
      </c>
      <c r="J4" s="1">
        <v>2.33490747488926E-8</v>
      </c>
      <c r="K4" s="1">
        <v>4.4386514995604898E-8</v>
      </c>
    </row>
    <row r="5" spans="1:11" x14ac:dyDescent="0.25">
      <c r="A5" t="s">
        <v>10</v>
      </c>
      <c r="B5" s="1">
        <v>2.0084544386444799E-10</v>
      </c>
      <c r="C5" s="1">
        <v>2.9154128172998298E-10</v>
      </c>
      <c r="D5" s="1">
        <v>4.2215708027611401E-10</v>
      </c>
      <c r="E5" s="1">
        <v>6.09741783802207E-10</v>
      </c>
      <c r="F5" s="1">
        <v>8.7836700798039599E-10</v>
      </c>
      <c r="G5" s="1">
        <v>1.2618897545857001E-9</v>
      </c>
      <c r="H5" s="1">
        <v>1.80773365090505E-9</v>
      </c>
      <c r="I5" s="1">
        <v>3.67650656454005E-9</v>
      </c>
      <c r="J5" s="1">
        <v>7.3791589681851402E-9</v>
      </c>
      <c r="K5" s="1">
        <v>1.45879232164931E-8</v>
      </c>
    </row>
    <row r="6" spans="1:11" x14ac:dyDescent="0.25">
      <c r="A6" t="s">
        <v>11</v>
      </c>
      <c r="B6" s="1">
        <v>4.8725210067640397E-11</v>
      </c>
      <c r="C6" s="1">
        <v>7.1385210700427203E-11</v>
      </c>
      <c r="D6" s="1">
        <v>1.0438162357336699E-10</v>
      </c>
      <c r="E6" s="1">
        <v>1.5232268861734999E-10</v>
      </c>
      <c r="F6" s="1">
        <v>2.2181771880519201E-10</v>
      </c>
      <c r="G6" s="1">
        <v>3.2231924107139199E-10</v>
      </c>
      <c r="H6" s="1">
        <v>4.6730578812537596E-10</v>
      </c>
      <c r="I6" s="1">
        <v>9.7534763605644701E-10</v>
      </c>
      <c r="J6" s="1">
        <v>2.0152505669640998E-9</v>
      </c>
      <c r="K6" s="1">
        <v>4.1175423573183503E-9</v>
      </c>
    </row>
    <row r="7" spans="1:11" x14ac:dyDescent="0.25">
      <c r="A7" t="s">
        <v>12</v>
      </c>
      <c r="B7" s="1">
        <v>9.1559046868777199E-12</v>
      </c>
      <c r="C7" s="1">
        <v>1.3511005554116E-11</v>
      </c>
      <c r="D7" s="1">
        <v>1.9915920963200601E-11</v>
      </c>
      <c r="E7" s="1">
        <v>2.9319697225025201E-11</v>
      </c>
      <c r="F7" s="1">
        <v>4.3102828567681701E-11</v>
      </c>
      <c r="G7" s="1">
        <v>6.3269396785799098E-11</v>
      </c>
      <c r="H7" s="1">
        <v>9.2722748096203704E-11</v>
      </c>
      <c r="I7" s="1">
        <v>1.9813471262255099E-10</v>
      </c>
      <c r="J7" s="1">
        <v>4.2033107565474098E-10</v>
      </c>
      <c r="K7" s="1">
        <v>8.8474980558422405E-10</v>
      </c>
    </row>
    <row r="8" spans="1:11" x14ac:dyDescent="0.25">
      <c r="A8" t="s">
        <v>14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t="s">
        <v>16</v>
      </c>
      <c r="B9">
        <v>0</v>
      </c>
      <c r="C9">
        <f>B9-0.15</f>
        <v>-0.15</v>
      </c>
      <c r="D9">
        <f t="shared" ref="D9:H9" si="2">C9-0.15</f>
        <v>-0.3</v>
      </c>
      <c r="E9">
        <f t="shared" si="2"/>
        <v>-0.44999999999999996</v>
      </c>
      <c r="F9">
        <f t="shared" si="2"/>
        <v>-0.6</v>
      </c>
      <c r="G9">
        <f t="shared" si="2"/>
        <v>-0.75</v>
      </c>
      <c r="H9">
        <f t="shared" si="2"/>
        <v>-0.9</v>
      </c>
      <c r="I9">
        <f>H9-0.3</f>
        <v>-1.2</v>
      </c>
      <c r="J9">
        <f t="shared" ref="J9:K9" si="3">I9-0.3</f>
        <v>-1.5</v>
      </c>
      <c r="K9">
        <f t="shared" si="3"/>
        <v>-1.8</v>
      </c>
    </row>
    <row r="10" spans="1:11" x14ac:dyDescent="0.25">
      <c r="A10" t="s">
        <v>15</v>
      </c>
      <c r="B10" s="1">
        <v>9.8546441731045403E-11</v>
      </c>
      <c r="C10" s="1">
        <v>1.4251758427007201E-10</v>
      </c>
      <c r="D10" s="1">
        <v>2.0559443629711701E-10</v>
      </c>
      <c r="E10" s="1">
        <v>2.9581885000052801E-10</v>
      </c>
      <c r="F10" s="1">
        <v>4.2449139178898501E-10</v>
      </c>
      <c r="G10" s="1">
        <v>6.0743096076360597E-10</v>
      </c>
      <c r="H10" s="1">
        <v>8.6669162958640903E-10</v>
      </c>
      <c r="I10" s="1">
        <v>1.7483197450554999E-9</v>
      </c>
      <c r="J10" s="1">
        <v>3.4808676016403701E-9</v>
      </c>
      <c r="K10" s="1">
        <v>6.8309826281816302E-9</v>
      </c>
    </row>
    <row r="11" spans="1:11" x14ac:dyDescent="0.25">
      <c r="A11" t="s">
        <v>10</v>
      </c>
      <c r="B11" s="1">
        <v>2.9766186323973397E-11</v>
      </c>
      <c r="C11" s="1">
        <v>4.3442551248007598E-11</v>
      </c>
      <c r="D11" s="1">
        <v>6.3268647007968598E-11</v>
      </c>
      <c r="E11" s="1">
        <v>9.1940658910052206E-11</v>
      </c>
      <c r="F11" s="1">
        <v>1.3330258400180099E-10</v>
      </c>
      <c r="G11" s="1">
        <v>1.92818065343203E-10</v>
      </c>
      <c r="H11" s="1">
        <v>2.7822791176917599E-10</v>
      </c>
      <c r="I11" s="1">
        <v>5.7489943130061495E-10</v>
      </c>
      <c r="J11" s="1">
        <v>1.1751372282285499E-9</v>
      </c>
      <c r="K11" s="1">
        <v>2.3740504834686299E-9</v>
      </c>
    </row>
    <row r="12" spans="1:11" x14ac:dyDescent="0.25">
      <c r="A12" t="s">
        <v>11</v>
      </c>
      <c r="B12" s="1">
        <v>8.0286707912405196E-12</v>
      </c>
      <c r="C12" s="1">
        <v>1.18103302608666E-11</v>
      </c>
      <c r="D12" s="1">
        <v>1.73429026880775E-11</v>
      </c>
      <c r="E12" s="1">
        <v>2.5421154274055E-11</v>
      </c>
      <c r="F12" s="1">
        <v>3.7192591843829102E-11</v>
      </c>
      <c r="G12" s="1">
        <v>5.43100284574703E-11</v>
      </c>
      <c r="H12" s="1">
        <v>7.9148153306184399E-11</v>
      </c>
      <c r="I12" s="1">
        <v>1.67058844642573E-10</v>
      </c>
      <c r="J12" s="1">
        <v>3.4955746953873801E-10</v>
      </c>
      <c r="K12" s="1">
        <v>7.2464221625103596E-10</v>
      </c>
    </row>
    <row r="13" spans="1:11" x14ac:dyDescent="0.25">
      <c r="A13" t="s">
        <v>12</v>
      </c>
      <c r="B13" s="1">
        <v>1.72419001052349E-12</v>
      </c>
      <c r="C13" s="1">
        <v>2.5540733590882198E-12</v>
      </c>
      <c r="D13" s="1">
        <v>3.7782758524350399E-12</v>
      </c>
      <c r="E13" s="1">
        <v>5.5814347992976699E-12</v>
      </c>
      <c r="F13" s="1">
        <v>8.2332527421677506E-12</v>
      </c>
      <c r="G13" s="1">
        <v>1.2126987690733099E-11</v>
      </c>
      <c r="H13" s="1">
        <v>1.78350083468045E-11</v>
      </c>
      <c r="I13" s="1">
        <v>3.8393950955615003E-11</v>
      </c>
      <c r="J13" s="1">
        <v>8.2110600425274903E-11</v>
      </c>
      <c r="K13" s="1">
        <v>1.7439162951400901E-10</v>
      </c>
    </row>
    <row r="20" spans="1:11" x14ac:dyDescent="0.25">
      <c r="A20" t="str">
        <f>A2</f>
        <v>Vds=0.9V</v>
      </c>
    </row>
    <row r="21" spans="1:11" x14ac:dyDescent="0.25">
      <c r="A21" t="str">
        <f>A3</f>
        <v>FBBP</v>
      </c>
      <c r="B21">
        <v>0</v>
      </c>
      <c r="C21">
        <v>-0.15</v>
      </c>
      <c r="D21">
        <v>-0.3</v>
      </c>
      <c r="E21">
        <v>-0.44999999999999996</v>
      </c>
      <c r="F21">
        <v>-0.6</v>
      </c>
      <c r="G21">
        <v>-0.75</v>
      </c>
      <c r="H21">
        <v>-0.9</v>
      </c>
      <c r="I21">
        <v>-1.2</v>
      </c>
      <c r="J21">
        <v>-1.5</v>
      </c>
      <c r="K21">
        <v>-1.8</v>
      </c>
    </row>
    <row r="22" spans="1:11" x14ac:dyDescent="0.25">
      <c r="A22" t="s">
        <v>15</v>
      </c>
      <c r="B22" s="1">
        <f>B4</f>
        <v>7.2909097742376204E-10</v>
      </c>
      <c r="C22" s="1">
        <f t="shared" ref="C22:K22" si="4">C4</f>
        <v>1.0468287234089301E-9</v>
      </c>
      <c r="D22" s="1">
        <f t="shared" si="4"/>
        <v>1.4986087098949701E-9</v>
      </c>
      <c r="E22" s="1">
        <f t="shared" si="4"/>
        <v>2.1387975256982398E-9</v>
      </c>
      <c r="F22" s="1">
        <f t="shared" si="4"/>
        <v>3.0427410181188E-9</v>
      </c>
      <c r="G22" s="1">
        <f t="shared" si="4"/>
        <v>4.3143159372936798E-9</v>
      </c>
      <c r="H22" s="1">
        <f t="shared" si="4"/>
        <v>6.0959019232935299E-9</v>
      </c>
      <c r="I22" s="1">
        <f t="shared" si="4"/>
        <v>1.20326454329494E-8</v>
      </c>
      <c r="J22" s="1">
        <f t="shared" si="4"/>
        <v>2.33490747488926E-8</v>
      </c>
      <c r="K22" s="1">
        <f t="shared" si="4"/>
        <v>4.4386514995604898E-8</v>
      </c>
    </row>
    <row r="23" spans="1:11" x14ac:dyDescent="0.25">
      <c r="A23" t="str">
        <f>A5</f>
        <v>PB=4n</v>
      </c>
      <c r="B23" s="1">
        <f t="shared" ref="B23:K23" si="5">B5</f>
        <v>2.0084544386444799E-10</v>
      </c>
      <c r="C23" s="1">
        <f t="shared" si="5"/>
        <v>2.9154128172998298E-10</v>
      </c>
      <c r="D23" s="1">
        <f t="shared" si="5"/>
        <v>4.2215708027611401E-10</v>
      </c>
      <c r="E23" s="1">
        <f t="shared" si="5"/>
        <v>6.09741783802207E-10</v>
      </c>
      <c r="F23" s="1">
        <f t="shared" si="5"/>
        <v>8.7836700798039599E-10</v>
      </c>
      <c r="G23" s="1">
        <f t="shared" si="5"/>
        <v>1.2618897545857001E-9</v>
      </c>
      <c r="H23" s="1">
        <f t="shared" si="5"/>
        <v>1.80773365090505E-9</v>
      </c>
      <c r="I23" s="1">
        <f t="shared" si="5"/>
        <v>3.67650656454005E-9</v>
      </c>
      <c r="J23" s="1">
        <f t="shared" si="5"/>
        <v>7.3791589681851402E-9</v>
      </c>
      <c r="K23" s="1">
        <f t="shared" si="5"/>
        <v>1.45879232164931E-8</v>
      </c>
    </row>
    <row r="24" spans="1:11" x14ac:dyDescent="0.25">
      <c r="A24" t="str">
        <f>A6</f>
        <v>PB=8n</v>
      </c>
      <c r="B24" s="1">
        <f t="shared" ref="B24:K24" si="6">B6</f>
        <v>4.8725210067640397E-11</v>
      </c>
      <c r="C24" s="1">
        <f t="shared" si="6"/>
        <v>7.1385210700427203E-11</v>
      </c>
      <c r="D24" s="1">
        <f t="shared" si="6"/>
        <v>1.0438162357336699E-10</v>
      </c>
      <c r="E24" s="1">
        <f t="shared" si="6"/>
        <v>1.5232268861734999E-10</v>
      </c>
      <c r="F24" s="1">
        <f t="shared" si="6"/>
        <v>2.2181771880519201E-10</v>
      </c>
      <c r="G24" s="1">
        <f t="shared" si="6"/>
        <v>3.2231924107139199E-10</v>
      </c>
      <c r="H24" s="1">
        <f t="shared" si="6"/>
        <v>4.6730578812537596E-10</v>
      </c>
      <c r="I24" s="1">
        <f t="shared" si="6"/>
        <v>9.7534763605644701E-10</v>
      </c>
      <c r="J24" s="1">
        <f t="shared" si="6"/>
        <v>2.0152505669640998E-9</v>
      </c>
      <c r="K24" s="1">
        <f t="shared" si="6"/>
        <v>4.1175423573183503E-9</v>
      </c>
    </row>
    <row r="25" spans="1:11" x14ac:dyDescent="0.25">
      <c r="A25" t="str">
        <f>A7</f>
        <v>PB=16n</v>
      </c>
      <c r="B25" s="1">
        <f t="shared" ref="B25:K25" si="7">B7</f>
        <v>9.1559046868777199E-12</v>
      </c>
      <c r="C25" s="1">
        <f t="shared" si="7"/>
        <v>1.3511005554116E-11</v>
      </c>
      <c r="D25" s="1">
        <f t="shared" si="7"/>
        <v>1.9915920963200601E-11</v>
      </c>
      <c r="E25" s="1">
        <f t="shared" si="7"/>
        <v>2.9319697225025201E-11</v>
      </c>
      <c r="F25" s="1">
        <f t="shared" si="7"/>
        <v>4.3102828567681701E-11</v>
      </c>
      <c r="G25" s="1">
        <f t="shared" si="7"/>
        <v>6.3269396785799098E-11</v>
      </c>
      <c r="H25" s="1">
        <f t="shared" si="7"/>
        <v>9.2722748096203704E-11</v>
      </c>
      <c r="I25" s="1">
        <f t="shared" si="7"/>
        <v>1.9813471262255099E-10</v>
      </c>
      <c r="J25" s="1">
        <f t="shared" si="7"/>
        <v>4.2033107565474098E-10</v>
      </c>
      <c r="K25" s="1">
        <f t="shared" si="7"/>
        <v>8.8474980558422405E-10</v>
      </c>
    </row>
    <row r="26" spans="1:11" x14ac:dyDescent="0.25">
      <c r="A26" t="str">
        <f>A8</f>
        <v>Vds=0.45V</v>
      </c>
    </row>
    <row r="27" spans="1:11" x14ac:dyDescent="0.25">
      <c r="A27" t="str">
        <f>A9</f>
        <v>FBBP</v>
      </c>
      <c r="B27">
        <v>0</v>
      </c>
      <c r="C27">
        <v>-0.15</v>
      </c>
      <c r="D27">
        <v>-0.3</v>
      </c>
      <c r="E27">
        <v>-0.44999999999999996</v>
      </c>
      <c r="F27">
        <v>-0.6</v>
      </c>
      <c r="G27">
        <v>-0.75</v>
      </c>
      <c r="H27">
        <v>-0.9</v>
      </c>
      <c r="I27">
        <v>-1.2</v>
      </c>
      <c r="J27">
        <v>-1.5</v>
      </c>
      <c r="K27">
        <v>-1.8</v>
      </c>
    </row>
    <row r="28" spans="1:11" x14ac:dyDescent="0.25">
      <c r="A28" t="s">
        <v>15</v>
      </c>
      <c r="B28" s="1">
        <f t="shared" ref="B28:K28" si="8">B10</f>
        <v>9.8546441731045403E-11</v>
      </c>
      <c r="C28" s="1">
        <f t="shared" si="8"/>
        <v>1.4251758427007201E-10</v>
      </c>
      <c r="D28" s="1">
        <f t="shared" si="8"/>
        <v>2.0559443629711701E-10</v>
      </c>
      <c r="E28" s="1">
        <f t="shared" si="8"/>
        <v>2.9581885000052801E-10</v>
      </c>
      <c r="F28" s="1">
        <f t="shared" si="8"/>
        <v>4.2449139178898501E-10</v>
      </c>
      <c r="G28" s="1">
        <f t="shared" si="8"/>
        <v>6.0743096076360597E-10</v>
      </c>
      <c r="H28" s="1">
        <f t="shared" si="8"/>
        <v>8.6669162958640903E-10</v>
      </c>
      <c r="I28" s="1">
        <f t="shared" si="8"/>
        <v>1.7483197450554999E-9</v>
      </c>
      <c r="J28" s="1">
        <f t="shared" si="8"/>
        <v>3.4808676016403701E-9</v>
      </c>
      <c r="K28" s="1">
        <f t="shared" si="8"/>
        <v>6.8309826281816302E-9</v>
      </c>
    </row>
    <row r="29" spans="1:11" x14ac:dyDescent="0.25">
      <c r="A29" t="str">
        <f>A11</f>
        <v>PB=4n</v>
      </c>
      <c r="B29" s="1">
        <f t="shared" ref="B29:K29" si="9">B11</f>
        <v>2.9766186323973397E-11</v>
      </c>
      <c r="C29" s="1">
        <f t="shared" si="9"/>
        <v>4.3442551248007598E-11</v>
      </c>
      <c r="D29" s="1">
        <f t="shared" si="9"/>
        <v>6.3268647007968598E-11</v>
      </c>
      <c r="E29" s="1">
        <f t="shared" si="9"/>
        <v>9.1940658910052206E-11</v>
      </c>
      <c r="F29" s="1">
        <f t="shared" si="9"/>
        <v>1.3330258400180099E-10</v>
      </c>
      <c r="G29" s="1">
        <f t="shared" si="9"/>
        <v>1.92818065343203E-10</v>
      </c>
      <c r="H29" s="1">
        <f t="shared" si="9"/>
        <v>2.7822791176917599E-10</v>
      </c>
      <c r="I29" s="1">
        <f t="shared" si="9"/>
        <v>5.7489943130061495E-10</v>
      </c>
      <c r="J29" s="1">
        <f t="shared" si="9"/>
        <v>1.1751372282285499E-9</v>
      </c>
      <c r="K29" s="1">
        <f t="shared" si="9"/>
        <v>2.3740504834686299E-9</v>
      </c>
    </row>
    <row r="30" spans="1:11" x14ac:dyDescent="0.25">
      <c r="A30" t="str">
        <f>A12</f>
        <v>PB=8n</v>
      </c>
      <c r="B30" s="1">
        <f t="shared" ref="B30:K30" si="10">B12</f>
        <v>8.0286707912405196E-12</v>
      </c>
      <c r="C30" s="1">
        <f t="shared" si="10"/>
        <v>1.18103302608666E-11</v>
      </c>
      <c r="D30" s="1">
        <f t="shared" si="10"/>
        <v>1.73429026880775E-11</v>
      </c>
      <c r="E30" s="1">
        <f t="shared" si="10"/>
        <v>2.5421154274055E-11</v>
      </c>
      <c r="F30" s="1">
        <f t="shared" si="10"/>
        <v>3.7192591843829102E-11</v>
      </c>
      <c r="G30" s="1">
        <f t="shared" si="10"/>
        <v>5.43100284574703E-11</v>
      </c>
      <c r="H30" s="1">
        <f t="shared" si="10"/>
        <v>7.9148153306184399E-11</v>
      </c>
      <c r="I30" s="1">
        <f t="shared" si="10"/>
        <v>1.67058844642573E-10</v>
      </c>
      <c r="J30" s="1">
        <f t="shared" si="10"/>
        <v>3.4955746953873801E-10</v>
      </c>
      <c r="K30" s="1">
        <f t="shared" si="10"/>
        <v>7.2464221625103596E-10</v>
      </c>
    </row>
    <row r="31" spans="1:11" x14ac:dyDescent="0.25">
      <c r="A31" t="str">
        <f>A13</f>
        <v>PB=16n</v>
      </c>
      <c r="B31" s="1">
        <f t="shared" ref="B31:K31" si="11">B13</f>
        <v>1.72419001052349E-12</v>
      </c>
      <c r="C31" s="1">
        <f t="shared" si="11"/>
        <v>2.5540733590882198E-12</v>
      </c>
      <c r="D31" s="1">
        <f t="shared" si="11"/>
        <v>3.7782758524350399E-12</v>
      </c>
      <c r="E31" s="1">
        <f t="shared" si="11"/>
        <v>5.5814347992976699E-12</v>
      </c>
      <c r="F31" s="1">
        <f t="shared" si="11"/>
        <v>8.2332527421677506E-12</v>
      </c>
      <c r="G31" s="1">
        <f t="shared" si="11"/>
        <v>1.2126987690733099E-11</v>
      </c>
      <c r="H31" s="1">
        <f t="shared" si="11"/>
        <v>1.78350083468045E-11</v>
      </c>
      <c r="I31" s="1">
        <f t="shared" si="11"/>
        <v>3.8393950955615003E-11</v>
      </c>
      <c r="J31" s="1">
        <f t="shared" si="11"/>
        <v>8.2110600425274903E-11</v>
      </c>
      <c r="K31" s="1">
        <f t="shared" si="11"/>
        <v>1.7439162951400901E-10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2022-01-01T04:24:49Z</dcterms:created>
  <dcterms:modified xsi:type="dcterms:W3CDTF">2026-02-06T08:39:08Z</dcterms:modified>
</cp:coreProperties>
</file>