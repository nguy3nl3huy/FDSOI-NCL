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rmit.internal\USRHome\el8\e03108\Configuration\Desktop\HUY_HPC2_FILES\MOSFETs\lvt_nfet_b\"/>
    </mc:Choice>
  </mc:AlternateContent>
  <xr:revisionPtr revIDLastSave="0" documentId="13_ncr:1_{DE812726-9668-41D6-BED3-3C218AB8864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lvt_nfet_b_IdsOFF_vs_FBBN_and_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J31" i="1"/>
  <c r="K31" i="1"/>
  <c r="B32" i="1"/>
  <c r="C32" i="1"/>
  <c r="D32" i="1"/>
  <c r="E32" i="1"/>
  <c r="F32" i="1"/>
  <c r="G32" i="1"/>
  <c r="H32" i="1"/>
  <c r="I32" i="1"/>
  <c r="J32" i="1"/>
  <c r="K32" i="1"/>
  <c r="A22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B25" i="1"/>
  <c r="C25" i="1"/>
  <c r="D25" i="1"/>
  <c r="E25" i="1"/>
  <c r="F25" i="1"/>
  <c r="G25" i="1"/>
  <c r="H25" i="1"/>
  <c r="I25" i="1"/>
  <c r="J25" i="1"/>
  <c r="K25" i="1"/>
  <c r="B26" i="1"/>
  <c r="C26" i="1"/>
  <c r="D26" i="1"/>
  <c r="E26" i="1"/>
  <c r="F26" i="1"/>
  <c r="G26" i="1"/>
  <c r="H26" i="1"/>
  <c r="I26" i="1"/>
  <c r="J26" i="1"/>
  <c r="K26" i="1"/>
  <c r="A27" i="1"/>
  <c r="A28" i="1"/>
  <c r="B28" i="1"/>
  <c r="C28" i="1"/>
  <c r="D28" i="1"/>
  <c r="E28" i="1"/>
  <c r="F28" i="1"/>
  <c r="G28" i="1"/>
  <c r="H28" i="1"/>
  <c r="I28" i="1"/>
  <c r="J28" i="1"/>
  <c r="K28" i="1"/>
  <c r="B29" i="1"/>
  <c r="C29" i="1"/>
  <c r="D29" i="1"/>
  <c r="E29" i="1"/>
  <c r="F29" i="1"/>
  <c r="G29" i="1"/>
  <c r="H29" i="1"/>
  <c r="I29" i="1"/>
  <c r="J29" i="1"/>
  <c r="K29" i="1"/>
  <c r="B30" i="1"/>
  <c r="C30" i="1"/>
  <c r="D30" i="1"/>
  <c r="E30" i="1"/>
  <c r="F30" i="1"/>
  <c r="G30" i="1"/>
  <c r="H30" i="1"/>
  <c r="I30" i="1"/>
  <c r="J30" i="1"/>
  <c r="K30" i="1"/>
  <c r="A21" i="1"/>
</calcChain>
</file>

<file path=xl/sharedStrings.xml><?xml version="1.0" encoding="utf-8"?>
<sst xmlns="http://schemas.openxmlformats.org/spreadsheetml/2006/main" count="20" uniqueCount="11">
  <si>
    <t xml:space="preserve">V_FBBN </t>
  </si>
  <si>
    <t>/N0/d nw 8e-08  (A)</t>
  </si>
  <si>
    <t>/N0/d nw 1.6e-07  (A)</t>
  </si>
  <si>
    <t>/N0/d nw 2.4e-07  (A)</t>
  </si>
  <si>
    <t>/N0/d nw 3.2e-07  (A)</t>
  </si>
  <si>
    <t>Vds=0.9V</t>
  </si>
  <si>
    <t>Vds=0.45V</t>
  </si>
  <si>
    <t>W=80n</t>
  </si>
  <si>
    <t>W=160n</t>
  </si>
  <si>
    <t>W=240n</t>
  </si>
  <si>
    <t>W=320n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</si>
</sst>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200"/>
              <a:t>Idsoff vs. FBBN and W (@Vds=0.9V,L=30n,PB=0n)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lvt_nfet_b_IdsOFF_vs_FBBN_and_W!$A$23</c:f>
              <c:strCache>
                <c:ptCount val="1"/>
                <c:pt idx="0">
                  <c:v>W=80n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lvt_nfet_b_IdsOFF_vs_FBBN_and_W!$B$22:$K$22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lvt_nfet_b_IdsOFF_vs_FBBN_and_W!$B$23:$K$23</c:f>
              <c:numCache>
                <c:formatCode>General</c:formatCode>
                <c:ptCount val="10"/>
                <c:pt idx="0">
                  <c:v>2.7769999999999998E-10</c:v>
                </c:pt>
                <c:pt idx="1">
                  <c:v>4.1280000000000001E-10</c:v>
                </c:pt>
                <c:pt idx="2">
                  <c:v>6.1299999999999995E-10</c:v>
                </c:pt>
                <c:pt idx="3">
                  <c:v>9.0920000000000002E-10</c:v>
                </c:pt>
                <c:pt idx="4">
                  <c:v>1.3459999999999999E-9</c:v>
                </c:pt>
                <c:pt idx="5">
                  <c:v>1.9890000000000001E-9</c:v>
                </c:pt>
                <c:pt idx="6">
                  <c:v>2.9330000000000001E-9</c:v>
                </c:pt>
                <c:pt idx="7">
                  <c:v>6.3229999999999998E-9</c:v>
                </c:pt>
                <c:pt idx="8">
                  <c:v>1.3459999999999999E-8</c:v>
                </c:pt>
                <c:pt idx="9">
                  <c:v>2.8250000000000002E-8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13-4620-B07A-426C8CDB70FF}"/>
            </c:ext>
          </c:extLst>
        </c:ser>
        <c:ser>
          <c:idx val="1"/>
          <c:order val="1"/>
          <c:tx>
            <c:strRef>
              <c:f>lvt_nfet_b_IdsOFF_vs_FBBN_and_W!$A$24</c:f>
              <c:strCache>
                <c:ptCount val="1"/>
                <c:pt idx="0">
                  <c:v>W=160n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lvt_nfet_b_IdsOFF_vs_FBBN_and_W!$B$22:$K$22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lvt_nfet_b_IdsOFF_vs_FBBN_and_W!$B$24:$K$24</c:f>
              <c:numCache>
                <c:formatCode>General</c:formatCode>
                <c:ptCount val="10"/>
                <c:pt idx="0">
                  <c:v>6.3699999999999997E-10</c:v>
                </c:pt>
                <c:pt idx="1">
                  <c:v>9.4010000000000009E-10</c:v>
                </c:pt>
                <c:pt idx="2">
                  <c:v>1.386E-9</c:v>
                </c:pt>
                <c:pt idx="3">
                  <c:v>2.04E-9</c:v>
                </c:pt>
                <c:pt idx="4">
                  <c:v>2.9969999999999999E-9</c:v>
                </c:pt>
                <c:pt idx="5">
                  <c:v>4.393E-9</c:v>
                </c:pt>
                <c:pt idx="6">
                  <c:v>6.4220000000000004E-9</c:v>
                </c:pt>
                <c:pt idx="7">
                  <c:v>1.3599999999999999E-8</c:v>
                </c:pt>
                <c:pt idx="8">
                  <c:v>2.8410000000000001E-8</c:v>
                </c:pt>
                <c:pt idx="9">
                  <c:v>5.8390000000000002E-8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13-4620-B07A-426C8CDB70FF}"/>
            </c:ext>
          </c:extLst>
        </c:ser>
        <c:ser>
          <c:idx val="2"/>
          <c:order val="2"/>
          <c:tx>
            <c:strRef>
              <c:f>lvt_nfet_b_IdsOFF_vs_FBBN_and_W!$A$25</c:f>
              <c:strCache>
                <c:ptCount val="1"/>
                <c:pt idx="0">
                  <c:v>W=240n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lvt_nfet_b_IdsOFF_vs_FBBN_and_W!$B$22:$K$22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lvt_nfet_b_IdsOFF_vs_FBBN_and_W!$B$25:$K$25</c:f>
              <c:numCache>
                <c:formatCode>General</c:formatCode>
                <c:ptCount val="10"/>
                <c:pt idx="0">
                  <c:v>1.0910000000000001E-9</c:v>
                </c:pt>
                <c:pt idx="1">
                  <c:v>1.6069999999999999E-9</c:v>
                </c:pt>
                <c:pt idx="2">
                  <c:v>2.3619999999999999E-9</c:v>
                </c:pt>
                <c:pt idx="3">
                  <c:v>3.468E-9</c:v>
                </c:pt>
                <c:pt idx="4">
                  <c:v>5.0799999999999998E-9</c:v>
                </c:pt>
                <c:pt idx="5">
                  <c:v>7.424E-9</c:v>
                </c:pt>
                <c:pt idx="6">
                  <c:v>1.082E-8</c:v>
                </c:pt>
                <c:pt idx="7">
                  <c:v>2.2770000000000001E-8</c:v>
                </c:pt>
                <c:pt idx="8">
                  <c:v>4.7220000000000002E-8</c:v>
                </c:pt>
                <c:pt idx="9">
                  <c:v>9.6250000000000005E-8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13-4620-B07A-426C8CDB70FF}"/>
            </c:ext>
          </c:extLst>
        </c:ser>
        <c:ser>
          <c:idx val="3"/>
          <c:order val="3"/>
          <c:tx>
            <c:strRef>
              <c:f>lvt_nfet_b_IdsOFF_vs_FBBN_and_W!$A$26</c:f>
              <c:strCache>
                <c:ptCount val="1"/>
                <c:pt idx="0">
                  <c:v>W=320n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lvt_nfet_b_IdsOFF_vs_FBBN_and_W!$B$22:$K$22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lvt_nfet_b_IdsOFF_vs_FBBN_and_W!$B$26:$K$26</c:f>
              <c:numCache>
                <c:formatCode>General</c:formatCode>
                <c:ptCount val="10"/>
                <c:pt idx="0">
                  <c:v>1.6560000000000001E-9</c:v>
                </c:pt>
                <c:pt idx="1">
                  <c:v>2.435E-9</c:v>
                </c:pt>
                <c:pt idx="2">
                  <c:v>3.5760000000000001E-9</c:v>
                </c:pt>
                <c:pt idx="3">
                  <c:v>5.2419999999999999E-9</c:v>
                </c:pt>
                <c:pt idx="4">
                  <c:v>7.6670000000000001E-9</c:v>
                </c:pt>
                <c:pt idx="5">
                  <c:v>1.119E-8</c:v>
                </c:pt>
                <c:pt idx="6">
                  <c:v>1.6280000000000001E-8</c:v>
                </c:pt>
                <c:pt idx="7">
                  <c:v>3.4130000000000002E-8</c:v>
                </c:pt>
                <c:pt idx="8">
                  <c:v>7.0510000000000001E-8</c:v>
                </c:pt>
                <c:pt idx="9">
                  <c:v>1.431E-7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13-4620-B07A-426C8CDB7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651456"/>
        <c:axId val="501652768"/>
      </c:lineChart>
      <c:catAx>
        <c:axId val="501651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FBBN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652768"/>
        <c:crosses val="autoZero"/>
        <c:auto val="1"/>
        <c:lblAlgn val="ctr"/>
        <c:lblOffset val="100"/>
        <c:noMultiLvlLbl val="0"/>
      </c:catAx>
      <c:valAx>
        <c:axId val="50165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Idsoff (A)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413533829104695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65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200" b="0" i="0" baseline="0">
                <a:effectLst/>
              </a:rPr>
              <a:t>Idsoff vs. FBBN and W (@Vds=0.45V,L=30n,PB=0n)</a:t>
            </a:r>
            <a:endParaRPr lang="en-AU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lvt_nfet_b_IdsOFF_vs_FBBN_and_W!$A$29</c:f>
              <c:strCache>
                <c:ptCount val="1"/>
                <c:pt idx="0">
                  <c:v>W=80n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lvt_nfet_b_IdsOFF_vs_FBBN_and_W!$B$28:$K$28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lvt_nfet_b_IdsOFF_vs_FBBN_and_W!$B$29:$K$29</c:f>
              <c:numCache>
                <c:formatCode>General</c:formatCode>
                <c:ptCount val="10"/>
                <c:pt idx="0">
                  <c:v>1.4000000000000001E-10</c:v>
                </c:pt>
                <c:pt idx="1">
                  <c:v>2.084E-10</c:v>
                </c:pt>
                <c:pt idx="2">
                  <c:v>3.0989999999999998E-10</c:v>
                </c:pt>
                <c:pt idx="3">
                  <c:v>4.6039999999999998E-10</c:v>
                </c:pt>
                <c:pt idx="4">
                  <c:v>6.8300000000000002E-10</c:v>
                </c:pt>
                <c:pt idx="5">
                  <c:v>1.012E-9</c:v>
                </c:pt>
                <c:pt idx="6">
                  <c:v>1.4949999999999999E-9</c:v>
                </c:pt>
                <c:pt idx="7">
                  <c:v>3.2430000000000001E-9</c:v>
                </c:pt>
                <c:pt idx="8">
                  <c:v>6.9530000000000003E-9</c:v>
                </c:pt>
                <c:pt idx="9">
                  <c:v>1.4710000000000001E-8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34-4167-94DF-2E1780764622}"/>
            </c:ext>
          </c:extLst>
        </c:ser>
        <c:ser>
          <c:idx val="1"/>
          <c:order val="1"/>
          <c:tx>
            <c:strRef>
              <c:f>lvt_nfet_b_IdsOFF_vs_FBBN_and_W!$A$30</c:f>
              <c:strCache>
                <c:ptCount val="1"/>
                <c:pt idx="0">
                  <c:v>W=160n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lvt_nfet_b_IdsOFF_vs_FBBN_and_W!$B$28:$K$28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lvt_nfet_b_IdsOFF_vs_FBBN_and_W!$B$30:$K$30</c:f>
              <c:numCache>
                <c:formatCode>General</c:formatCode>
                <c:ptCount val="10"/>
                <c:pt idx="0">
                  <c:v>3.0880000000000001E-10</c:v>
                </c:pt>
                <c:pt idx="1">
                  <c:v>4.5619999999999999E-10</c:v>
                </c:pt>
                <c:pt idx="2">
                  <c:v>6.735E-10</c:v>
                </c:pt>
                <c:pt idx="3">
                  <c:v>9.9310000000000001E-10</c:v>
                </c:pt>
                <c:pt idx="4">
                  <c:v>1.4619999999999999E-9</c:v>
                </c:pt>
                <c:pt idx="5">
                  <c:v>2.148E-9</c:v>
                </c:pt>
                <c:pt idx="6">
                  <c:v>3.1479999999999999E-9</c:v>
                </c:pt>
                <c:pt idx="7">
                  <c:v>6.7059999999999998E-9</c:v>
                </c:pt>
                <c:pt idx="8">
                  <c:v>1.4100000000000001E-8</c:v>
                </c:pt>
                <c:pt idx="9">
                  <c:v>2.9210000000000001E-8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34-4167-94DF-2E1780764622}"/>
            </c:ext>
          </c:extLst>
        </c:ser>
        <c:ser>
          <c:idx val="2"/>
          <c:order val="2"/>
          <c:tx>
            <c:strRef>
              <c:f>lvt_nfet_b_IdsOFF_vs_FBBN_and_W!$A$31</c:f>
              <c:strCache>
                <c:ptCount val="1"/>
                <c:pt idx="0">
                  <c:v>W=240n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lvt_nfet_b_IdsOFF_vs_FBBN_and_W!$B$28:$K$28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lvt_nfet_b_IdsOFF_vs_FBBN_and_W!$B$31:$K$31</c:f>
              <c:numCache>
                <c:formatCode>General</c:formatCode>
                <c:ptCount val="10"/>
                <c:pt idx="0">
                  <c:v>5.0819999999999996E-10</c:v>
                </c:pt>
                <c:pt idx="1">
                  <c:v>7.49E-10</c:v>
                </c:pt>
                <c:pt idx="2">
                  <c:v>1.103E-9</c:v>
                </c:pt>
                <c:pt idx="3">
                  <c:v>1.622E-9</c:v>
                </c:pt>
                <c:pt idx="4">
                  <c:v>2.3809999999999999E-9</c:v>
                </c:pt>
                <c:pt idx="5">
                  <c:v>3.4879999999999999E-9</c:v>
                </c:pt>
                <c:pt idx="6">
                  <c:v>5.0959999999999998E-9</c:v>
                </c:pt>
                <c:pt idx="7">
                  <c:v>1.0789999999999999E-8</c:v>
                </c:pt>
                <c:pt idx="8">
                  <c:v>2.2530000000000001E-8</c:v>
                </c:pt>
                <c:pt idx="9">
                  <c:v>4.6310000000000002E-8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34-4167-94DF-2E1780764622}"/>
            </c:ext>
          </c:extLst>
        </c:ser>
        <c:ser>
          <c:idx val="3"/>
          <c:order val="3"/>
          <c:tx>
            <c:strRef>
              <c:f>lvt_nfet_b_IdsOFF_vs_FBBN_and_W!$A$32</c:f>
              <c:strCache>
                <c:ptCount val="1"/>
                <c:pt idx="0">
                  <c:v>W=320n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lvt_nfet_b_IdsOFF_vs_FBBN_and_W!$B$28:$K$28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lvt_nfet_b_IdsOFF_vs_FBBN_and_W!$B$32:$K$32</c:f>
              <c:numCache>
                <c:formatCode>General</c:formatCode>
                <c:ptCount val="10"/>
                <c:pt idx="0">
                  <c:v>7.4589999999999998E-10</c:v>
                </c:pt>
                <c:pt idx="1">
                  <c:v>1.0979999999999999E-9</c:v>
                </c:pt>
                <c:pt idx="2">
                  <c:v>1.614E-9</c:v>
                </c:pt>
                <c:pt idx="3">
                  <c:v>2.3710000000000002E-9</c:v>
                </c:pt>
                <c:pt idx="4">
                  <c:v>3.476E-9</c:v>
                </c:pt>
                <c:pt idx="5">
                  <c:v>5.0840000000000002E-9</c:v>
                </c:pt>
                <c:pt idx="6">
                  <c:v>7.4170000000000003E-9</c:v>
                </c:pt>
                <c:pt idx="7">
                  <c:v>1.5650000000000001E-8</c:v>
                </c:pt>
                <c:pt idx="8">
                  <c:v>3.2560000000000002E-8</c:v>
                </c:pt>
                <c:pt idx="9">
                  <c:v>6.6670000000000001E-8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34-4167-94DF-2E1780764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5334208"/>
        <c:axId val="515333224"/>
      </c:lineChart>
      <c:catAx>
        <c:axId val="515334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FBBN</a:t>
                </a:r>
                <a:r>
                  <a:rPr lang="en-AU" baseline="0"/>
                  <a:t> (V)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33224"/>
        <c:crosses val="autoZero"/>
        <c:auto val="1"/>
        <c:lblAlgn val="ctr"/>
        <c:lblOffset val="100"/>
        <c:noMultiLvlLbl val="0"/>
      </c:catAx>
      <c:valAx>
        <c:axId val="515333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Idsoff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3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419100</xdr:colOff>
      <xdr:row>13</xdr:row>
      <xdr:rowOff>147637</xdr:rowOff>
    </xdr:from>
    <xdr:to>
      <xdr:col>20</xdr:col>
      <xdr:colOff>114300</xdr:colOff>
      <xdr:row>28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B541DB-D1C4-4B19-BB08-B25A99502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476250</xdr:colOff>
      <xdr:row>28</xdr:row>
      <xdr:rowOff>166687</xdr:rowOff>
    </xdr:from>
    <xdr:to>
      <xdr:col>20</xdr:col>
      <xdr:colOff>171450</xdr:colOff>
      <xdr:row>43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0E9C14-C961-41D9-9796-F03991846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E42" sqref="E42"/>
    </sheetView>
  </sheetViews>
  <sheetFormatPr defaultRowHeight="15" x14ac:dyDescent="0.25"/>
  <cols>
    <col min="1" max="1" width="10.140625" customWidth="1"/>
  </cols>
  <sheetData>
    <row r="1" spans="1:11" x14ac:dyDescent="0.25">
      <c r="A1" t="s">
        <v>5</v>
      </c>
    </row>
    <row r="2" spans="1:11" x14ac:dyDescent="0.25">
      <c r="A2" t="s">
        <v>0</v>
      </c>
      <c r="B2">
        <v>0</v>
      </c>
      <c r="C2" s="1">
        <v>0.15</v>
      </c>
      <c r="D2" s="1">
        <v>0.3</v>
      </c>
      <c r="E2" s="1">
        <v>0.45</v>
      </c>
      <c r="F2" s="1">
        <v>0.6</v>
      </c>
      <c r="G2" s="1">
        <v>0.75</v>
      </c>
      <c r="H2" s="1">
        <v>0.9</v>
      </c>
      <c r="I2">
        <v>1.2</v>
      </c>
      <c r="J2">
        <v>1.5</v>
      </c>
      <c r="K2">
        <v>1.8</v>
      </c>
    </row>
    <row r="3" spans="1:11" x14ac:dyDescent="0.25">
      <c r="A3" t="s">
        <v>1</v>
      </c>
      <c r="B3" s="1">
        <v>2.7769999999999998E-10</v>
      </c>
      <c r="C3" s="1">
        <v>4.1280000000000001E-10</v>
      </c>
      <c r="D3" s="1">
        <v>6.1299999999999995E-10</v>
      </c>
      <c r="E3" s="1">
        <v>9.0920000000000002E-10</v>
      </c>
      <c r="F3" s="1">
        <v>1.3459999999999999E-9</v>
      </c>
      <c r="G3" s="1">
        <v>1.9890000000000001E-9</v>
      </c>
      <c r="H3" s="1">
        <v>2.9330000000000001E-9</v>
      </c>
      <c r="I3" s="1">
        <v>6.3229999999999998E-9</v>
      </c>
      <c r="J3" s="1">
        <v>1.3459999999999999E-8</v>
      </c>
      <c r="K3" s="1">
        <v>2.8250000000000002E-8</v>
      </c>
    </row>
    <row r="4" spans="1:11" x14ac:dyDescent="0.25">
      <c r="A4" t="s">
        <v>2</v>
      </c>
      <c r="B4" s="1">
        <v>6.3699999999999997E-10</v>
      </c>
      <c r="C4" s="1">
        <v>9.4010000000000009E-10</v>
      </c>
      <c r="D4" s="1">
        <v>1.386E-9</v>
      </c>
      <c r="E4" s="1">
        <v>2.04E-9</v>
      </c>
      <c r="F4" s="1">
        <v>2.9969999999999999E-9</v>
      </c>
      <c r="G4" s="1">
        <v>4.393E-9</v>
      </c>
      <c r="H4" s="1">
        <v>6.4220000000000004E-9</v>
      </c>
      <c r="I4" s="1">
        <v>1.3599999999999999E-8</v>
      </c>
      <c r="J4" s="1">
        <v>2.8410000000000001E-8</v>
      </c>
      <c r="K4" s="1">
        <v>5.8390000000000002E-8</v>
      </c>
    </row>
    <row r="5" spans="1:11" x14ac:dyDescent="0.25">
      <c r="A5" t="s">
        <v>3</v>
      </c>
      <c r="B5" s="1">
        <v>1.0910000000000001E-9</v>
      </c>
      <c r="C5" s="1">
        <v>1.6069999999999999E-9</v>
      </c>
      <c r="D5" s="1">
        <v>2.3619999999999999E-9</v>
      </c>
      <c r="E5" s="1">
        <v>3.468E-9</v>
      </c>
      <c r="F5" s="1">
        <v>5.0799999999999998E-9</v>
      </c>
      <c r="G5" s="1">
        <v>7.424E-9</v>
      </c>
      <c r="H5" s="1">
        <v>1.082E-8</v>
      </c>
      <c r="I5" s="1">
        <v>2.2770000000000001E-8</v>
      </c>
      <c r="J5" s="1">
        <v>4.7220000000000002E-8</v>
      </c>
      <c r="K5" s="1">
        <v>9.6250000000000005E-8</v>
      </c>
    </row>
    <row r="6" spans="1:11" x14ac:dyDescent="0.25">
      <c r="A6" t="s">
        <v>4</v>
      </c>
      <c r="B6" s="1">
        <v>1.6560000000000001E-9</v>
      </c>
      <c r="C6" s="1">
        <v>2.435E-9</v>
      </c>
      <c r="D6" s="1">
        <v>3.5760000000000001E-9</v>
      </c>
      <c r="E6" s="1">
        <v>5.2419999999999999E-9</v>
      </c>
      <c r="F6" s="1">
        <v>7.6670000000000001E-9</v>
      </c>
      <c r="G6" s="1">
        <v>1.119E-8</v>
      </c>
      <c r="H6" s="1">
        <v>1.6280000000000001E-8</v>
      </c>
      <c r="I6" s="1">
        <v>3.4130000000000002E-8</v>
      </c>
      <c r="J6" s="1">
        <v>7.0510000000000001E-8</v>
      </c>
      <c r="K6" s="1">
        <v>1.431E-7</v>
      </c>
    </row>
    <row r="7" spans="1:11" x14ac:dyDescent="0.25">
      <c r="A7" t="s">
        <v>6</v>
      </c>
    </row>
    <row r="8" spans="1:11" x14ac:dyDescent="0.25">
      <c r="A8" t="s">
        <v>0</v>
      </c>
      <c r="B8">
        <v>0</v>
      </c>
      <c r="C8" s="1">
        <v>0.15</v>
      </c>
      <c r="D8" s="1">
        <v>0.3</v>
      </c>
      <c r="E8" s="1">
        <v>0.45</v>
      </c>
      <c r="F8" s="1">
        <v>0.6</v>
      </c>
      <c r="G8" s="1">
        <v>0.75</v>
      </c>
      <c r="H8" s="1">
        <v>0.9</v>
      </c>
      <c r="I8">
        <v>1.2</v>
      </c>
      <c r="J8">
        <v>1.5</v>
      </c>
      <c r="K8">
        <v>1.8</v>
      </c>
    </row>
    <row r="9" spans="1:11" x14ac:dyDescent="0.25">
      <c r="A9" t="s">
        <v>1</v>
      </c>
      <c r="B9" s="1">
        <v>1.4000000000000001E-10</v>
      </c>
      <c r="C9" s="1">
        <v>2.084E-10</v>
      </c>
      <c r="D9" s="1">
        <v>3.0989999999999998E-10</v>
      </c>
      <c r="E9" s="1">
        <v>4.6039999999999998E-10</v>
      </c>
      <c r="F9" s="1">
        <v>6.8300000000000002E-10</v>
      </c>
      <c r="G9" s="1">
        <v>1.012E-9</v>
      </c>
      <c r="H9" s="1">
        <v>1.4949999999999999E-9</v>
      </c>
      <c r="I9" s="1">
        <v>3.2430000000000001E-9</v>
      </c>
      <c r="J9" s="1">
        <v>6.9530000000000003E-9</v>
      </c>
      <c r="K9" s="1">
        <v>1.4710000000000001E-8</v>
      </c>
    </row>
    <row r="10" spans="1:11" x14ac:dyDescent="0.25">
      <c r="A10" t="s">
        <v>2</v>
      </c>
      <c r="B10" s="1">
        <v>3.0880000000000001E-10</v>
      </c>
      <c r="C10" s="1">
        <v>4.5619999999999999E-10</v>
      </c>
      <c r="D10" s="1">
        <v>6.735E-10</v>
      </c>
      <c r="E10" s="1">
        <v>9.9310000000000001E-10</v>
      </c>
      <c r="F10" s="1">
        <v>1.4619999999999999E-9</v>
      </c>
      <c r="G10" s="1">
        <v>2.148E-9</v>
      </c>
      <c r="H10" s="1">
        <v>3.1479999999999999E-9</v>
      </c>
      <c r="I10" s="1">
        <v>6.7059999999999998E-9</v>
      </c>
      <c r="J10" s="1">
        <v>1.4100000000000001E-8</v>
      </c>
      <c r="K10" s="1">
        <v>2.9210000000000001E-8</v>
      </c>
    </row>
    <row r="11" spans="1:11" x14ac:dyDescent="0.25">
      <c r="A11" t="s">
        <v>3</v>
      </c>
      <c r="B11" s="1">
        <v>5.0819999999999996E-10</v>
      </c>
      <c r="C11" s="1">
        <v>7.49E-10</v>
      </c>
      <c r="D11" s="1">
        <v>1.103E-9</v>
      </c>
      <c r="E11" s="1">
        <v>1.622E-9</v>
      </c>
      <c r="F11" s="1">
        <v>2.3809999999999999E-9</v>
      </c>
      <c r="G11" s="1">
        <v>3.4879999999999999E-9</v>
      </c>
      <c r="H11" s="1">
        <v>5.0959999999999998E-9</v>
      </c>
      <c r="I11" s="1">
        <v>1.0789999999999999E-8</v>
      </c>
      <c r="J11" s="1">
        <v>2.2530000000000001E-8</v>
      </c>
      <c r="K11" s="1">
        <v>4.6310000000000002E-8</v>
      </c>
    </row>
    <row r="12" spans="1:11" x14ac:dyDescent="0.25">
      <c r="A12" t="s">
        <v>4</v>
      </c>
      <c r="B12" s="1">
        <v>7.4589999999999998E-10</v>
      </c>
      <c r="C12" s="1">
        <v>1.0979999999999999E-9</v>
      </c>
      <c r="D12" s="1">
        <v>1.614E-9</v>
      </c>
      <c r="E12" s="1">
        <v>2.3710000000000002E-9</v>
      </c>
      <c r="F12" s="1">
        <v>3.476E-9</v>
      </c>
      <c r="G12" s="1">
        <v>5.0840000000000002E-9</v>
      </c>
      <c r="H12" s="1">
        <v>7.4170000000000003E-9</v>
      </c>
      <c r="I12" s="1">
        <v>1.5650000000000001E-8</v>
      </c>
      <c r="J12" s="1">
        <v>3.2560000000000002E-8</v>
      </c>
      <c r="K12" s="1">
        <v>6.6670000000000001E-8</v>
      </c>
    </row>
    <row r="21" spans="1:11" x14ac:dyDescent="0.25">
      <c r="A21" t="str">
        <f>A1</f>
        <v>Vds=0.9V</v>
      </c>
    </row>
    <row r="22" spans="1:11" x14ac:dyDescent="0.25">
      <c r="A22" t="str">
        <f t="shared" ref="A22:K22" si="0">A2</f>
        <v xml:space="preserve">V_FBBN </v>
      </c>
      <c r="B22">
        <f t="shared" si="0"/>
        <v>0</v>
      </c>
      <c r="C22">
        <f t="shared" si="0"/>
        <v>0.15</v>
      </c>
      <c r="D22">
        <f t="shared" si="0"/>
        <v>0.3</v>
      </c>
      <c r="E22">
        <f t="shared" si="0"/>
        <v>0.45</v>
      </c>
      <c r="F22">
        <f t="shared" si="0"/>
        <v>0.6</v>
      </c>
      <c r="G22">
        <f t="shared" si="0"/>
        <v>0.75</v>
      </c>
      <c r="H22">
        <f t="shared" si="0"/>
        <v>0.9</v>
      </c>
      <c r="I22">
        <f t="shared" si="0"/>
        <v>1.2</v>
      </c>
      <c r="J22">
        <f t="shared" si="0"/>
        <v>1.5</v>
      </c>
      <c r="K22">
        <f t="shared" si="0"/>
        <v>1.8</v>
      </c>
    </row>
    <row r="23" spans="1:11" x14ac:dyDescent="0.25">
      <c r="A23" t="s">
        <v>7</v>
      </c>
      <c r="B23">
        <f t="shared" ref="B23:K23" si="1">B3</f>
        <v>2.7769999999999998E-10</v>
      </c>
      <c r="C23">
        <f t="shared" si="1"/>
        <v>4.1280000000000001E-10</v>
      </c>
      <c r="D23">
        <f t="shared" si="1"/>
        <v>6.1299999999999995E-10</v>
      </c>
      <c r="E23">
        <f t="shared" si="1"/>
        <v>9.0920000000000002E-10</v>
      </c>
      <c r="F23">
        <f t="shared" si="1"/>
        <v>1.3459999999999999E-9</v>
      </c>
      <c r="G23">
        <f t="shared" si="1"/>
        <v>1.9890000000000001E-9</v>
      </c>
      <c r="H23">
        <f t="shared" si="1"/>
        <v>2.9330000000000001E-9</v>
      </c>
      <c r="I23">
        <f t="shared" si="1"/>
        <v>6.3229999999999998E-9</v>
      </c>
      <c r="J23">
        <f t="shared" si="1"/>
        <v>1.3459999999999999E-8</v>
      </c>
      <c r="K23">
        <f t="shared" si="1"/>
        <v>2.8250000000000002E-8</v>
      </c>
    </row>
    <row r="24" spans="1:11" x14ac:dyDescent="0.25">
      <c r="A24" t="s">
        <v>8</v>
      </c>
      <c r="B24">
        <f t="shared" ref="B24:K24" si="2">B4</f>
        <v>6.3699999999999997E-10</v>
      </c>
      <c r="C24">
        <f t="shared" si="2"/>
        <v>9.4010000000000009E-10</v>
      </c>
      <c r="D24">
        <f t="shared" si="2"/>
        <v>1.386E-9</v>
      </c>
      <c r="E24">
        <f t="shared" si="2"/>
        <v>2.04E-9</v>
      </c>
      <c r="F24">
        <f t="shared" si="2"/>
        <v>2.9969999999999999E-9</v>
      </c>
      <c r="G24">
        <f t="shared" si="2"/>
        <v>4.393E-9</v>
      </c>
      <c r="H24">
        <f t="shared" si="2"/>
        <v>6.4220000000000004E-9</v>
      </c>
      <c r="I24">
        <f t="shared" si="2"/>
        <v>1.3599999999999999E-8</v>
      </c>
      <c r="J24">
        <f t="shared" si="2"/>
        <v>2.8410000000000001E-8</v>
      </c>
      <c r="K24">
        <f t="shared" si="2"/>
        <v>5.8390000000000002E-8</v>
      </c>
    </row>
    <row r="25" spans="1:11" x14ac:dyDescent="0.25">
      <c r="A25" t="s">
        <v>9</v>
      </c>
      <c r="B25">
        <f t="shared" ref="B25:K25" si="3">B5</f>
        <v>1.0910000000000001E-9</v>
      </c>
      <c r="C25">
        <f t="shared" si="3"/>
        <v>1.6069999999999999E-9</v>
      </c>
      <c r="D25">
        <f t="shared" si="3"/>
        <v>2.3619999999999999E-9</v>
      </c>
      <c r="E25">
        <f t="shared" si="3"/>
        <v>3.468E-9</v>
      </c>
      <c r="F25">
        <f t="shared" si="3"/>
        <v>5.0799999999999998E-9</v>
      </c>
      <c r="G25">
        <f t="shared" si="3"/>
        <v>7.424E-9</v>
      </c>
      <c r="H25">
        <f t="shared" si="3"/>
        <v>1.082E-8</v>
      </c>
      <c r="I25">
        <f t="shared" si="3"/>
        <v>2.2770000000000001E-8</v>
      </c>
      <c r="J25">
        <f t="shared" si="3"/>
        <v>4.7220000000000002E-8</v>
      </c>
      <c r="K25">
        <f t="shared" si="3"/>
        <v>9.6250000000000005E-8</v>
      </c>
    </row>
    <row r="26" spans="1:11" x14ac:dyDescent="0.25">
      <c r="A26" t="s">
        <v>10</v>
      </c>
      <c r="B26">
        <f t="shared" ref="B26:K26" si="4">B6</f>
        <v>1.6560000000000001E-9</v>
      </c>
      <c r="C26">
        <f t="shared" si="4"/>
        <v>2.435E-9</v>
      </c>
      <c r="D26">
        <f t="shared" si="4"/>
        <v>3.5760000000000001E-9</v>
      </c>
      <c r="E26">
        <f t="shared" si="4"/>
        <v>5.2419999999999999E-9</v>
      </c>
      <c r="F26">
        <f t="shared" si="4"/>
        <v>7.6670000000000001E-9</v>
      </c>
      <c r="G26">
        <f t="shared" si="4"/>
        <v>1.119E-8</v>
      </c>
      <c r="H26">
        <f t="shared" si="4"/>
        <v>1.6280000000000001E-8</v>
      </c>
      <c r="I26">
        <f t="shared" si="4"/>
        <v>3.4130000000000002E-8</v>
      </c>
      <c r="J26">
        <f t="shared" si="4"/>
        <v>7.0510000000000001E-8</v>
      </c>
      <c r="K26">
        <f t="shared" si="4"/>
        <v>1.431E-7</v>
      </c>
    </row>
    <row r="27" spans="1:11" x14ac:dyDescent="0.25">
      <c r="A27" t="str">
        <f t="shared" ref="A27" si="5">A7</f>
        <v>Vds=0.45V</v>
      </c>
    </row>
    <row r="28" spans="1:11" x14ac:dyDescent="0.25">
      <c r="A28" t="str">
        <f t="shared" ref="A28:K28" si="6">A8</f>
        <v xml:space="preserve">V_FBBN </v>
      </c>
      <c r="B28">
        <f t="shared" si="6"/>
        <v>0</v>
      </c>
      <c r="C28">
        <f t="shared" si="6"/>
        <v>0.15</v>
      </c>
      <c r="D28">
        <f t="shared" si="6"/>
        <v>0.3</v>
      </c>
      <c r="E28">
        <f t="shared" si="6"/>
        <v>0.45</v>
      </c>
      <c r="F28">
        <f t="shared" si="6"/>
        <v>0.6</v>
      </c>
      <c r="G28">
        <f t="shared" si="6"/>
        <v>0.75</v>
      </c>
      <c r="H28">
        <f t="shared" si="6"/>
        <v>0.9</v>
      </c>
      <c r="I28">
        <f t="shared" si="6"/>
        <v>1.2</v>
      </c>
      <c r="J28">
        <f t="shared" si="6"/>
        <v>1.5</v>
      </c>
      <c r="K28">
        <f t="shared" si="6"/>
        <v>1.8</v>
      </c>
    </row>
    <row r="29" spans="1:11" x14ac:dyDescent="0.25">
      <c r="A29" t="s">
        <v>7</v>
      </c>
      <c r="B29">
        <f t="shared" ref="B29:K29" si="7">B9</f>
        <v>1.4000000000000001E-10</v>
      </c>
      <c r="C29">
        <f t="shared" si="7"/>
        <v>2.084E-10</v>
      </c>
      <c r="D29">
        <f t="shared" si="7"/>
        <v>3.0989999999999998E-10</v>
      </c>
      <c r="E29">
        <f t="shared" si="7"/>
        <v>4.6039999999999998E-10</v>
      </c>
      <c r="F29">
        <f t="shared" si="7"/>
        <v>6.8300000000000002E-10</v>
      </c>
      <c r="G29">
        <f t="shared" si="7"/>
        <v>1.012E-9</v>
      </c>
      <c r="H29">
        <f t="shared" si="7"/>
        <v>1.4949999999999999E-9</v>
      </c>
      <c r="I29">
        <f t="shared" si="7"/>
        <v>3.2430000000000001E-9</v>
      </c>
      <c r="J29">
        <f t="shared" si="7"/>
        <v>6.9530000000000003E-9</v>
      </c>
      <c r="K29">
        <f t="shared" si="7"/>
        <v>1.4710000000000001E-8</v>
      </c>
    </row>
    <row r="30" spans="1:11" x14ac:dyDescent="0.25">
      <c r="A30" t="s">
        <v>8</v>
      </c>
      <c r="B30">
        <f t="shared" ref="B30:K30" si="8">B10</f>
        <v>3.0880000000000001E-10</v>
      </c>
      <c r="C30">
        <f t="shared" si="8"/>
        <v>4.5619999999999999E-10</v>
      </c>
      <c r="D30">
        <f t="shared" si="8"/>
        <v>6.735E-10</v>
      </c>
      <c r="E30">
        <f t="shared" si="8"/>
        <v>9.9310000000000001E-10</v>
      </c>
      <c r="F30">
        <f t="shared" si="8"/>
        <v>1.4619999999999999E-9</v>
      </c>
      <c r="G30">
        <f t="shared" si="8"/>
        <v>2.148E-9</v>
      </c>
      <c r="H30">
        <f t="shared" si="8"/>
        <v>3.1479999999999999E-9</v>
      </c>
      <c r="I30">
        <f t="shared" si="8"/>
        <v>6.7059999999999998E-9</v>
      </c>
      <c r="J30">
        <f t="shared" si="8"/>
        <v>1.4100000000000001E-8</v>
      </c>
      <c r="K30">
        <f t="shared" si="8"/>
        <v>2.9210000000000001E-8</v>
      </c>
    </row>
    <row r="31" spans="1:11" x14ac:dyDescent="0.25">
      <c r="A31" t="s">
        <v>9</v>
      </c>
      <c r="B31">
        <f t="shared" ref="B31:K31" si="9">B11</f>
        <v>5.0819999999999996E-10</v>
      </c>
      <c r="C31">
        <f t="shared" si="9"/>
        <v>7.49E-10</v>
      </c>
      <c r="D31">
        <f t="shared" si="9"/>
        <v>1.103E-9</v>
      </c>
      <c r="E31">
        <f t="shared" si="9"/>
        <v>1.622E-9</v>
      </c>
      <c r="F31">
        <f t="shared" si="9"/>
        <v>2.3809999999999999E-9</v>
      </c>
      <c r="G31">
        <f t="shared" si="9"/>
        <v>3.4879999999999999E-9</v>
      </c>
      <c r="H31">
        <f t="shared" si="9"/>
        <v>5.0959999999999998E-9</v>
      </c>
      <c r="I31">
        <f t="shared" si="9"/>
        <v>1.0789999999999999E-8</v>
      </c>
      <c r="J31">
        <f t="shared" si="9"/>
        <v>2.2530000000000001E-8</v>
      </c>
      <c r="K31">
        <f t="shared" si="9"/>
        <v>4.6310000000000002E-8</v>
      </c>
    </row>
    <row r="32" spans="1:11" x14ac:dyDescent="0.25">
      <c r="A32" t="s">
        <v>10</v>
      </c>
      <c r="B32">
        <f t="shared" ref="B32:K32" si="10">B12</f>
        <v>7.4589999999999998E-10</v>
      </c>
      <c r="C32">
        <f t="shared" si="10"/>
        <v>1.0979999999999999E-9</v>
      </c>
      <c r="D32">
        <f t="shared" si="10"/>
        <v>1.614E-9</v>
      </c>
      <c r="E32">
        <f t="shared" si="10"/>
        <v>2.3710000000000002E-9</v>
      </c>
      <c r="F32">
        <f t="shared" si="10"/>
        <v>3.476E-9</v>
      </c>
      <c r="G32">
        <f t="shared" si="10"/>
        <v>5.0840000000000002E-9</v>
      </c>
      <c r="H32">
        <f t="shared" si="10"/>
        <v>7.4170000000000003E-9</v>
      </c>
      <c r="I32">
        <f t="shared" si="10"/>
        <v>1.5650000000000001E-8</v>
      </c>
      <c r="J32">
        <f t="shared" si="10"/>
        <v>3.2560000000000002E-8</v>
      </c>
      <c r="K32">
        <f t="shared" si="10"/>
        <v>6.6670000000000001E-8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lvt_nfet_b_IdsOFF_vs_FBBN_and_W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Beckett</cp:lastModifiedBy>
  <dcterms:created xsi:type="dcterms:W3CDTF">2022-01-01T03:45:13Z</dcterms:created>
  <dcterms:modified xsi:type="dcterms:W3CDTF">2022-01-01T06:15:42Z</dcterms:modified>
</cp:coreProperties>
</file>