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rmit.internal\USRHome\el8\e03108\Configuration\Desktop\HUY_HPC2_FILES\MOSFETs\lvt_nfet_b\"/>
    </mc:Choice>
  </mc:AlternateContent>
  <xr:revisionPtr revIDLastSave="0" documentId="13_ncr:40009_{8DEC6130-FB43-482D-B75B-2DAEC2BC3DE6}" xr6:coauthVersionLast="46" xr6:coauthVersionMax="46" xr10:uidLastSave="{00000000-0000-0000-0000-000000000000}"/>
  <bookViews>
    <workbookView xWindow="-120" yWindow="-120" windowWidth="29040" windowHeight="15840"/>
  </bookViews>
  <sheets>
    <sheet name="lvt_nfet_b_Idssat_vs_FBBN_and_P" sheetId="1" r:id="rId1"/>
  </sheets>
  <calcPr calcId="0"/>
</workbook>
</file>

<file path=xl/calcChain.xml><?xml version="1.0" encoding="utf-8"?>
<calcChain xmlns="http://schemas.openxmlformats.org/spreadsheetml/2006/main">
  <c r="K27" i="1" l="1"/>
  <c r="J27" i="1"/>
  <c r="I27" i="1"/>
  <c r="H27" i="1"/>
  <c r="G27" i="1"/>
  <c r="F27" i="1"/>
  <c r="E27" i="1"/>
  <c r="D27" i="1"/>
  <c r="C27" i="1"/>
  <c r="B27" i="1"/>
  <c r="K28" i="1"/>
  <c r="J28" i="1"/>
  <c r="I28" i="1"/>
  <c r="H28" i="1"/>
  <c r="G28" i="1"/>
  <c r="F28" i="1"/>
  <c r="E28" i="1"/>
  <c r="D28" i="1"/>
  <c r="C28" i="1"/>
  <c r="B28" i="1"/>
  <c r="K29" i="1"/>
  <c r="J29" i="1"/>
  <c r="I29" i="1"/>
  <c r="H29" i="1"/>
  <c r="G29" i="1"/>
  <c r="F29" i="1"/>
  <c r="E29" i="1"/>
  <c r="D29" i="1"/>
  <c r="C29" i="1"/>
  <c r="B29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C21" i="1"/>
  <c r="D21" i="1"/>
  <c r="E21" i="1"/>
  <c r="F21" i="1"/>
  <c r="G21" i="1"/>
  <c r="H21" i="1"/>
  <c r="I21" i="1"/>
  <c r="J21" i="1"/>
  <c r="K21" i="1"/>
  <c r="B21" i="1"/>
  <c r="A27" i="1"/>
  <c r="A28" i="1"/>
  <c r="A29" i="1"/>
  <c r="A19" i="1"/>
  <c r="A21" i="1"/>
  <c r="A22" i="1"/>
  <c r="A23" i="1"/>
  <c r="A24" i="1"/>
  <c r="A25" i="1"/>
  <c r="A18" i="1"/>
</calcChain>
</file>

<file path=xl/sharedStrings.xml><?xml version="1.0" encoding="utf-8"?>
<sst xmlns="http://schemas.openxmlformats.org/spreadsheetml/2006/main" count="22" uniqueCount="17">
  <si>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</si>
  <si>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</si>
  <si>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</si>
  <si>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</si>
  <si>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</si>
  <si>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</si>
  <si>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</si>
  <si>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</si>
  <si>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</si>
  <si>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</si>
  <si>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PB=4n</t>
  </si>
  <si>
    <t>PB=8n</t>
  </si>
  <si>
    <t>PB=16n</t>
  </si>
  <si>
    <t>FBBN</t>
  </si>
  <si>
    <t>Vds=0.9V</t>
  </si>
  <si>
    <t>Vds=0.45V</t>
  </si>
  <si>
    <t>No 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</si>
</sst>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Idsat vs. FBBN and</a:t>
            </a:r>
            <a:r>
              <a:rPr lang="en-AU" baseline="0"/>
              <a:t> PB (@Vds=0.9V, W=80n, L=30n)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lvt_nfet_b_Idssat_vs_FBBN_and_P!$A$20</c:f>
              <c:strCache>
                <c:ptCount val="1"/>
                <c:pt idx="0">
                  <c:v>No PB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lvt_nfet_b_Idssat_vs_FBBN_and_P!$B$19:$K$19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lvt_nfet_b_Idssat_vs_FBBN_and_P!$B$20:$K$20</c:f>
              <c:numCache>
                <c:formatCode>General</c:formatCode>
                <c:ptCount val="10"/>
                <c:pt idx="0">
                  <c:v>66.09</c:v>
                </c:pt>
                <c:pt idx="1">
                  <c:v>67.589999999999989</c:v>
                </c:pt>
                <c:pt idx="2">
                  <c:v>69.09</c:v>
                </c:pt>
                <c:pt idx="3">
                  <c:v>70.599999999999994</c:v>
                </c:pt>
                <c:pt idx="4">
                  <c:v>72.13</c:v>
                </c:pt>
                <c:pt idx="5">
                  <c:v>73.67</c:v>
                </c:pt>
                <c:pt idx="6">
                  <c:v>75.22</c:v>
                </c:pt>
                <c:pt idx="7">
                  <c:v>78.36</c:v>
                </c:pt>
                <c:pt idx="8">
                  <c:v>81.539999999999992</c:v>
                </c:pt>
                <c:pt idx="9">
                  <c:v>84.759999999999991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1-4DF0-BFCD-8D9DCCE0796C}"/>
            </c:ext>
          </c:extLst>
        </c:ser>
        <c:ser>
          <c:idx val="2"/>
          <c:order val="1"/>
          <c:tx>
            <c:strRef>
              <c:f>lvt_nfet_b_Idssat_vs_FBBN_and_P!$A$21</c:f>
              <c:strCache>
                <c:ptCount val="1"/>
                <c:pt idx="0">
                  <c:v>PB=4n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lvt_nfet_b_Idssat_vs_FBBN_and_P!$B$19:$K$19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lvt_nfet_b_Idssat_vs_FBBN_and_P!$B$21:$K$21</c:f>
              <c:numCache>
                <c:formatCode>0.00</c:formatCode>
                <c:ptCount val="10"/>
                <c:pt idx="0">
                  <c:v>63.538128779152501</c:v>
                </c:pt>
                <c:pt idx="1">
                  <c:v>65.0377042423749</c:v>
                </c:pt>
                <c:pt idx="2">
                  <c:v>66.547078775386808</c:v>
                </c:pt>
                <c:pt idx="3">
                  <c:v>68.067180384456208</c:v>
                </c:pt>
                <c:pt idx="4">
                  <c:v>69.5986531415965</c:v>
                </c:pt>
                <c:pt idx="5">
                  <c:v>71.141848129192297</c:v>
                </c:pt>
                <c:pt idx="6">
                  <c:v>72.696830753758306</c:v>
                </c:pt>
                <c:pt idx="7">
                  <c:v>75.841131385467108</c:v>
                </c:pt>
                <c:pt idx="8">
                  <c:v>79.027432855659896</c:v>
                </c:pt>
                <c:pt idx="9">
                  <c:v>82.249316670661003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B1-4DF0-BFCD-8D9DCCE0796C}"/>
            </c:ext>
          </c:extLst>
        </c:ser>
        <c:ser>
          <c:idx val="3"/>
          <c:order val="2"/>
          <c:tx>
            <c:strRef>
              <c:f>lvt_nfet_b_Idssat_vs_FBBN_and_P!$A$22</c:f>
              <c:strCache>
                <c:ptCount val="1"/>
                <c:pt idx="0">
                  <c:v>PB=8n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lvt_nfet_b_Idssat_vs_FBBN_and_P!$B$19:$K$19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lvt_nfet_b_Idssat_vs_FBBN_and_P!$B$22:$K$22</c:f>
              <c:numCache>
                <c:formatCode>0.00</c:formatCode>
                <c:ptCount val="10"/>
                <c:pt idx="0">
                  <c:v>60.5142332218199</c:v>
                </c:pt>
                <c:pt idx="1">
                  <c:v>62.004584436898305</c:v>
                </c:pt>
                <c:pt idx="2">
                  <c:v>63.504440474614107</c:v>
                </c:pt>
                <c:pt idx="3">
                  <c:v>65.014752102619298</c:v>
                </c:pt>
                <c:pt idx="4">
                  <c:v>66.536186784284197</c:v>
                </c:pt>
                <c:pt idx="5">
                  <c:v>68.069116281067906</c:v>
                </c:pt>
                <c:pt idx="6">
                  <c:v>69.613621899944093</c:v>
                </c:pt>
                <c:pt idx="7">
                  <c:v>72.736369218635588</c:v>
                </c:pt>
                <c:pt idx="8">
                  <c:v>75.900325157794597</c:v>
                </c:pt>
                <c:pt idx="9">
                  <c:v>79.099028444647502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B1-4DF0-BFCD-8D9DCCE0796C}"/>
            </c:ext>
          </c:extLst>
        </c:ser>
        <c:ser>
          <c:idx val="0"/>
          <c:order val="3"/>
          <c:tx>
            <c:strRef>
              <c:f>lvt_nfet_b_Idssat_vs_FBBN_and_P!$A$23</c:f>
              <c:strCache>
                <c:ptCount val="1"/>
                <c:pt idx="0">
                  <c:v>PB=16n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lvt_nfet_b_Idssat_vs_FBBN_and_P!$B$19:$K$19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lvt_nfet_b_Idssat_vs_FBBN_and_P!$B$23:$K$23</c:f>
              <c:numCache>
                <c:formatCode>0.00</c:formatCode>
                <c:ptCount val="10"/>
                <c:pt idx="0">
                  <c:v>56.2024371900254</c:v>
                </c:pt>
                <c:pt idx="1">
                  <c:v>57.659242268477499</c:v>
                </c:pt>
                <c:pt idx="2">
                  <c:v>59.1255514673311</c:v>
                </c:pt>
                <c:pt idx="3">
                  <c:v>60.6022864948945</c:v>
                </c:pt>
                <c:pt idx="4">
                  <c:v>62.090094335767006</c:v>
                </c:pt>
                <c:pt idx="5">
                  <c:v>63.589331867285892</c:v>
                </c:pt>
                <c:pt idx="6">
                  <c:v>65.100068915847004</c:v>
                </c:pt>
                <c:pt idx="7">
                  <c:v>68.155012486910408</c:v>
                </c:pt>
                <c:pt idx="8">
                  <c:v>71.250758178475493</c:v>
                </c:pt>
                <c:pt idx="9">
                  <c:v>74.38079483262041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B1-4DF0-BFCD-8D9DCCE07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984200"/>
        <c:axId val="510978296"/>
      </c:lineChart>
      <c:catAx>
        <c:axId val="510984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FBBN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78296"/>
        <c:crosses val="autoZero"/>
        <c:auto val="1"/>
        <c:lblAlgn val="ctr"/>
        <c:lblOffset val="100"/>
        <c:noMultiLvlLbl val="0"/>
      </c:catAx>
      <c:valAx>
        <c:axId val="510978296"/>
        <c:scaling>
          <c:orientation val="minMax"/>
          <c:min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Idsat (uA)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84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baseline="0">
                <a:effectLst/>
              </a:rPr>
              <a:t>Idsat vs. FBBN and PB (@Vds=0.45V, W=80n, L=30n)</a:t>
            </a:r>
            <a:endParaRPr lang="en-AU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lvt_nfet_b_Idssat_vs_FBBN_and_P!$A$26</c:f>
              <c:strCache>
                <c:ptCount val="1"/>
                <c:pt idx="0">
                  <c:v>No PB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lvt_nfet_b_Idssat_vs_FBBN_and_P!$B$25:$K$25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lvt_nfet_b_Idssat_vs_FBBN_and_P!$B$26:$K$26</c:f>
              <c:numCache>
                <c:formatCode>0.00</c:formatCode>
                <c:ptCount val="10"/>
                <c:pt idx="0">
                  <c:v>7.6</c:v>
                </c:pt>
                <c:pt idx="1">
                  <c:v>8.7460000000000004</c:v>
                </c:pt>
                <c:pt idx="2">
                  <c:v>9.9760000000000009</c:v>
                </c:pt>
                <c:pt idx="3">
                  <c:v>11.280000000000001</c:v>
                </c:pt>
                <c:pt idx="4">
                  <c:v>12.66</c:v>
                </c:pt>
                <c:pt idx="5">
                  <c:v>14.09</c:v>
                </c:pt>
                <c:pt idx="6">
                  <c:v>15.58</c:v>
                </c:pt>
                <c:pt idx="7">
                  <c:v>18.68</c:v>
                </c:pt>
                <c:pt idx="8">
                  <c:v>21.900000000000002</c:v>
                </c:pt>
                <c:pt idx="9">
                  <c:v>25.19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8-47EA-BDC9-9FB6281B3D80}"/>
            </c:ext>
          </c:extLst>
        </c:ser>
        <c:ser>
          <c:idx val="1"/>
          <c:order val="1"/>
          <c:tx>
            <c:strRef>
              <c:f>lvt_nfet_b_Idssat_vs_FBBN_and_P!$A$27</c:f>
              <c:strCache>
                <c:ptCount val="1"/>
                <c:pt idx="0">
                  <c:v>PB=4n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lvt_nfet_b_Idssat_vs_FBBN_and_P!$B$25:$K$25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lvt_nfet_b_Idssat_vs_FBBN_and_P!$B$27:$K$27</c:f>
              <c:numCache>
                <c:formatCode>0.00</c:formatCode>
                <c:ptCount val="10"/>
                <c:pt idx="0">
                  <c:v>6.6724624514675392</c:v>
                </c:pt>
                <c:pt idx="1">
                  <c:v>7.7404336724075504</c:v>
                </c:pt>
                <c:pt idx="2">
                  <c:v>8.8942025007360304</c:v>
                </c:pt>
                <c:pt idx="3">
                  <c:v>10.127204430254301</c:v>
                </c:pt>
                <c:pt idx="4">
                  <c:v>11.4319436891615</c:v>
                </c:pt>
                <c:pt idx="5">
                  <c:v>12.800415670373301</c:v>
                </c:pt>
                <c:pt idx="6">
                  <c:v>14.224467078734399</c:v>
                </c:pt>
                <c:pt idx="7">
                  <c:v>17.207629410103998</c:v>
                </c:pt>
                <c:pt idx="8">
                  <c:v>20.3226685995898</c:v>
                </c:pt>
                <c:pt idx="9">
                  <c:v>23.520674410751898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F8-47EA-BDC9-9FB6281B3D80}"/>
            </c:ext>
          </c:extLst>
        </c:ser>
        <c:ser>
          <c:idx val="2"/>
          <c:order val="2"/>
          <c:tx>
            <c:strRef>
              <c:f>lvt_nfet_b_Idssat_vs_FBBN_and_P!$A$28</c:f>
              <c:strCache>
                <c:ptCount val="1"/>
                <c:pt idx="0">
                  <c:v>PB=8n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lvt_nfet_b_Idssat_vs_FBBN_and_P!$B$25:$K$25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lvt_nfet_b_Idssat_vs_FBBN_and_P!$B$28:$K$28</c:f>
              <c:numCache>
                <c:formatCode>0.00</c:formatCode>
                <c:ptCount val="10"/>
                <c:pt idx="0">
                  <c:v>5.7508555077027106</c:v>
                </c:pt>
                <c:pt idx="1">
                  <c:v>6.7272208527689701</c:v>
                </c:pt>
                <c:pt idx="2">
                  <c:v>7.7897878061019901</c:v>
                </c:pt>
                <c:pt idx="3">
                  <c:v>8.9328926381008387</c:v>
                </c:pt>
                <c:pt idx="4">
                  <c:v>10.149776789092401</c:v>
                </c:pt>
                <c:pt idx="5">
                  <c:v>11.432998440856</c:v>
                </c:pt>
                <c:pt idx="6">
                  <c:v>12.774794107847699</c:v>
                </c:pt>
                <c:pt idx="7">
                  <c:v>15.6032090307703</c:v>
                </c:pt>
                <c:pt idx="8">
                  <c:v>18.576597190774301</c:v>
                </c:pt>
                <c:pt idx="9">
                  <c:v>21.645022868895602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F8-47EA-BDC9-9FB6281B3D80}"/>
            </c:ext>
          </c:extLst>
        </c:ser>
        <c:ser>
          <c:idx val="3"/>
          <c:order val="3"/>
          <c:tx>
            <c:strRef>
              <c:f>lvt_nfet_b_Idssat_vs_FBBN_and_P!$A$29</c:f>
              <c:strCache>
                <c:ptCount val="1"/>
                <c:pt idx="0">
                  <c:v>PB=16n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lvt_nfet_b_Idssat_vs_FBBN_and_P!$B$25:$K$25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lvt_nfet_b_Idssat_vs_FBBN_and_P!$B$29:$K$29</c:f>
              <c:numCache>
                <c:formatCode>0.00</c:formatCode>
                <c:ptCount val="10"/>
                <c:pt idx="0">
                  <c:v>4.69857349503057</c:v>
                </c:pt>
                <c:pt idx="1">
                  <c:v>5.5510422346414208</c:v>
                </c:pt>
                <c:pt idx="2">
                  <c:v>6.4873049848821402</c:v>
                </c:pt>
                <c:pt idx="3">
                  <c:v>7.5030586924513205</c:v>
                </c:pt>
                <c:pt idx="4">
                  <c:v>8.59278367130592</c:v>
                </c:pt>
                <c:pt idx="5">
                  <c:v>9.7501127207903906</c:v>
                </c:pt>
                <c:pt idx="6">
                  <c:v>10.9681662947646</c:v>
                </c:pt>
                <c:pt idx="7">
                  <c:v>13.558094770179499</c:v>
                </c:pt>
                <c:pt idx="8">
                  <c:v>16.3074384518304</c:v>
                </c:pt>
                <c:pt idx="9">
                  <c:v>19.1672118499752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F8-47EA-BDC9-9FB6281B3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981912"/>
        <c:axId val="503982240"/>
      </c:lineChart>
      <c:catAx>
        <c:axId val="503981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FBBN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82240"/>
        <c:crosses val="autoZero"/>
        <c:auto val="1"/>
        <c:lblAlgn val="ctr"/>
        <c:lblOffset val="100"/>
        <c:noMultiLvlLbl val="0"/>
      </c:catAx>
      <c:valAx>
        <c:axId val="50398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Idsat (uA)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81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</xdr:colOff>
      <xdr:row>12</xdr:row>
      <xdr:rowOff>157162</xdr:rowOff>
    </xdr:from>
    <xdr:to>
      <xdr:col>19</xdr:col>
      <xdr:colOff>371475</xdr:colOff>
      <xdr:row>29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4231B7-6247-46A0-BA13-4548D0D7B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123825</xdr:colOff>
      <xdr:row>30</xdr:row>
      <xdr:rowOff>90487</xdr:rowOff>
    </xdr:from>
    <xdr:to>
      <xdr:col>19</xdr:col>
      <xdr:colOff>428625</xdr:colOff>
      <xdr:row>44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29C28B-1C4B-479D-B274-F12FE5193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topLeftCell="A10" workbookViewId="0">
      <selection activeCell="K40" sqref="K40"/>
    </sheetView>
  </sheetViews>
  <sheetFormatPr defaultRowHeight="15" x14ac:dyDescent="0.25"/>
  <cols>
    <col min="1" max="1" width="10.140625" bestFit="1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14</v>
      </c>
    </row>
    <row r="3" spans="1:11" x14ac:dyDescent="0.25">
      <c r="A3" t="s">
        <v>13</v>
      </c>
      <c r="B3">
        <v>0</v>
      </c>
      <c r="C3">
        <v>0.15</v>
      </c>
      <c r="D3">
        <v>0.3</v>
      </c>
      <c r="E3">
        <v>0.45</v>
      </c>
      <c r="F3">
        <v>0.6</v>
      </c>
      <c r="G3">
        <v>0.75</v>
      </c>
      <c r="H3">
        <v>0.9</v>
      </c>
      <c r="I3">
        <v>1.2</v>
      </c>
      <c r="J3">
        <v>1.5</v>
      </c>
      <c r="K3">
        <v>1.8</v>
      </c>
    </row>
    <row r="4" spans="1:11" x14ac:dyDescent="0.25">
      <c r="A4" t="s">
        <v>10</v>
      </c>
      <c r="B4" s="1">
        <v>6.3538128779152503E-5</v>
      </c>
      <c r="C4" s="1">
        <v>6.50377042423749E-5</v>
      </c>
      <c r="D4" s="1">
        <v>6.6547078775386806E-5</v>
      </c>
      <c r="E4" s="1">
        <v>6.8067180384456203E-5</v>
      </c>
      <c r="F4" s="1">
        <v>6.9598653141596505E-5</v>
      </c>
      <c r="G4" s="1">
        <v>7.1141848129192299E-5</v>
      </c>
      <c r="H4" s="1">
        <v>7.2696830753758303E-5</v>
      </c>
      <c r="I4" s="1">
        <v>7.5841131385467103E-5</v>
      </c>
      <c r="J4" s="1">
        <v>7.9027432855659899E-5</v>
      </c>
      <c r="K4" s="1">
        <v>8.2249316670660998E-5</v>
      </c>
    </row>
    <row r="5" spans="1:11" x14ac:dyDescent="0.25">
      <c r="A5" t="s">
        <v>11</v>
      </c>
      <c r="B5" s="1">
        <v>6.0514233221819898E-5</v>
      </c>
      <c r="C5" s="1">
        <v>6.2004584436898302E-5</v>
      </c>
      <c r="D5" s="1">
        <v>6.3504440474614106E-5</v>
      </c>
      <c r="E5" s="1">
        <v>6.5014752102619304E-5</v>
      </c>
      <c r="F5" s="1">
        <v>6.6536186784284194E-5</v>
      </c>
      <c r="G5" s="1">
        <v>6.8069116281067906E-5</v>
      </c>
      <c r="H5" s="1">
        <v>6.9613621899944098E-5</v>
      </c>
      <c r="I5" s="1">
        <v>7.2736369218635594E-5</v>
      </c>
      <c r="J5" s="1">
        <v>7.5900325157794599E-5</v>
      </c>
      <c r="K5" s="1">
        <v>7.9099028444647499E-5</v>
      </c>
    </row>
    <row r="6" spans="1:11" x14ac:dyDescent="0.25">
      <c r="A6" t="s">
        <v>12</v>
      </c>
      <c r="B6" s="1">
        <v>5.6202437190025401E-5</v>
      </c>
      <c r="C6" s="1">
        <v>5.7659242268477501E-5</v>
      </c>
      <c r="D6" s="1">
        <v>5.9125551467331097E-5</v>
      </c>
      <c r="E6" s="1">
        <v>6.0602286494894499E-5</v>
      </c>
      <c r="F6" s="1">
        <v>6.2090094335767005E-5</v>
      </c>
      <c r="G6" s="1">
        <v>6.3589331867285894E-5</v>
      </c>
      <c r="H6" s="1">
        <v>6.5100068915846998E-5</v>
      </c>
      <c r="I6" s="1">
        <v>6.8155012486910405E-5</v>
      </c>
      <c r="J6" s="1">
        <v>7.1250758178475497E-5</v>
      </c>
      <c r="K6" s="1">
        <v>7.4380794832620405E-5</v>
      </c>
    </row>
    <row r="7" spans="1:11" x14ac:dyDescent="0.25">
      <c r="A7" t="s">
        <v>15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t="s">
        <v>13</v>
      </c>
      <c r="B8">
        <v>0</v>
      </c>
      <c r="C8">
        <v>0.15</v>
      </c>
      <c r="D8">
        <v>0.3</v>
      </c>
      <c r="E8">
        <v>0.45</v>
      </c>
      <c r="F8">
        <v>0.6</v>
      </c>
      <c r="G8">
        <v>0.75</v>
      </c>
      <c r="H8">
        <v>0.9</v>
      </c>
      <c r="I8">
        <v>1.2</v>
      </c>
      <c r="J8">
        <v>1.5</v>
      </c>
      <c r="K8">
        <v>1.8</v>
      </c>
    </row>
    <row r="9" spans="1:11" x14ac:dyDescent="0.25">
      <c r="A9" t="s">
        <v>10</v>
      </c>
      <c r="B9" s="1">
        <v>4.6985734950305697E-6</v>
      </c>
      <c r="C9" s="1">
        <v>5.5510422346414203E-6</v>
      </c>
      <c r="D9" s="1">
        <v>6.4873049848821399E-6</v>
      </c>
      <c r="E9" s="1">
        <v>7.5030586924513202E-6</v>
      </c>
      <c r="F9" s="1">
        <v>8.5927836713059202E-6</v>
      </c>
      <c r="G9" s="1">
        <v>9.7501127207903906E-6</v>
      </c>
      <c r="H9" s="1">
        <v>1.0968166294764601E-5</v>
      </c>
      <c r="I9" s="1">
        <v>1.35580947701795E-5</v>
      </c>
      <c r="J9" s="1">
        <v>1.63074384518304E-5</v>
      </c>
      <c r="K9" s="1">
        <v>1.9167211849975199E-5</v>
      </c>
    </row>
    <row r="10" spans="1:11" x14ac:dyDescent="0.25">
      <c r="A10" t="s">
        <v>11</v>
      </c>
      <c r="B10" s="1">
        <v>5.7508555077027103E-6</v>
      </c>
      <c r="C10" s="1">
        <v>6.72722085276897E-6</v>
      </c>
      <c r="D10" s="1">
        <v>7.7897878061019899E-6</v>
      </c>
      <c r="E10" s="1">
        <v>8.9328926381008395E-6</v>
      </c>
      <c r="F10" s="1">
        <v>1.01497767890924E-5</v>
      </c>
      <c r="G10" s="1">
        <v>1.1432998440856E-5</v>
      </c>
      <c r="H10" s="1">
        <v>1.27747941078477E-5</v>
      </c>
      <c r="I10" s="1">
        <v>1.5603209030770299E-5</v>
      </c>
      <c r="J10" s="1">
        <v>1.8576597190774299E-5</v>
      </c>
      <c r="K10" s="1">
        <v>2.16450228688956E-5</v>
      </c>
    </row>
    <row r="11" spans="1:11" x14ac:dyDescent="0.25">
      <c r="A11" t="s">
        <v>12</v>
      </c>
      <c r="B11" s="1">
        <v>6.6724624514675397E-6</v>
      </c>
      <c r="C11" s="1">
        <v>7.7404336724075505E-6</v>
      </c>
      <c r="D11" s="1">
        <v>8.8942025007360298E-6</v>
      </c>
      <c r="E11" s="1">
        <v>1.01272044302543E-5</v>
      </c>
      <c r="F11" s="1">
        <v>1.1431943689161501E-5</v>
      </c>
      <c r="G11" s="1">
        <v>1.2800415670373301E-5</v>
      </c>
      <c r="H11" s="1">
        <v>1.42244670787344E-5</v>
      </c>
      <c r="I11" s="1">
        <v>1.7207629410103999E-5</v>
      </c>
      <c r="J11" s="1">
        <v>2.0322668599589799E-5</v>
      </c>
      <c r="K11" s="1">
        <v>2.3520674410751899E-5</v>
      </c>
    </row>
    <row r="18" spans="1:11" x14ac:dyDescent="0.25">
      <c r="A18" t="str">
        <f>A2</f>
        <v>Vds=0.9V</v>
      </c>
    </row>
    <row r="19" spans="1:11" x14ac:dyDescent="0.25">
      <c r="A19" t="str">
        <f t="shared" ref="A19" si="0">A3</f>
        <v>FBBN</v>
      </c>
      <c r="B19">
        <v>0</v>
      </c>
      <c r="C19">
        <v>0.15</v>
      </c>
      <c r="D19">
        <v>0.3</v>
      </c>
      <c r="E19">
        <v>0.45</v>
      </c>
      <c r="F19">
        <v>0.6</v>
      </c>
      <c r="G19">
        <v>0.75</v>
      </c>
      <c r="H19">
        <v>0.9</v>
      </c>
      <c r="I19">
        <v>1.2</v>
      </c>
      <c r="J19">
        <v>1.5</v>
      </c>
      <c r="K19">
        <v>1.8</v>
      </c>
    </row>
    <row r="20" spans="1:11" x14ac:dyDescent="0.25">
      <c r="A20" t="s">
        <v>16</v>
      </c>
      <c r="B20">
        <v>66.09</v>
      </c>
      <c r="C20">
        <v>67.589999999999989</v>
      </c>
      <c r="D20">
        <v>69.09</v>
      </c>
      <c r="E20">
        <v>70.599999999999994</v>
      </c>
      <c r="F20">
        <v>72.13</v>
      </c>
      <c r="G20">
        <v>73.67</v>
      </c>
      <c r="H20">
        <v>75.22</v>
      </c>
      <c r="I20">
        <v>78.36</v>
      </c>
      <c r="J20">
        <v>81.539999999999992</v>
      </c>
      <c r="K20">
        <v>84.759999999999991</v>
      </c>
    </row>
    <row r="21" spans="1:11" x14ac:dyDescent="0.25">
      <c r="A21" t="str">
        <f>A4</f>
        <v>PB=4n</v>
      </c>
      <c r="B21" s="2">
        <f>B4*1000000</f>
        <v>63.538128779152501</v>
      </c>
      <c r="C21" s="2">
        <f t="shared" ref="C21:K21" si="1">C4*1000000</f>
        <v>65.0377042423749</v>
      </c>
      <c r="D21" s="2">
        <f t="shared" si="1"/>
        <v>66.547078775386808</v>
      </c>
      <c r="E21" s="2">
        <f t="shared" si="1"/>
        <v>68.067180384456208</v>
      </c>
      <c r="F21" s="2">
        <f t="shared" si="1"/>
        <v>69.5986531415965</v>
      </c>
      <c r="G21" s="2">
        <f t="shared" si="1"/>
        <v>71.141848129192297</v>
      </c>
      <c r="H21" s="2">
        <f t="shared" si="1"/>
        <v>72.696830753758306</v>
      </c>
      <c r="I21" s="2">
        <f t="shared" si="1"/>
        <v>75.841131385467108</v>
      </c>
      <c r="J21" s="2">
        <f t="shared" si="1"/>
        <v>79.027432855659896</v>
      </c>
      <c r="K21" s="2">
        <f t="shared" si="1"/>
        <v>82.249316670661003</v>
      </c>
    </row>
    <row r="22" spans="1:11" x14ac:dyDescent="0.25">
      <c r="A22" t="str">
        <f>A5</f>
        <v>PB=8n</v>
      </c>
      <c r="B22" s="2">
        <f t="shared" ref="B22:K22" si="2">B5*1000000</f>
        <v>60.5142332218199</v>
      </c>
      <c r="C22" s="2">
        <f t="shared" si="2"/>
        <v>62.004584436898305</v>
      </c>
      <c r="D22" s="2">
        <f t="shared" si="2"/>
        <v>63.504440474614107</v>
      </c>
      <c r="E22" s="2">
        <f t="shared" si="2"/>
        <v>65.014752102619298</v>
      </c>
      <c r="F22" s="2">
        <f t="shared" si="2"/>
        <v>66.536186784284197</v>
      </c>
      <c r="G22" s="2">
        <f t="shared" si="2"/>
        <v>68.069116281067906</v>
      </c>
      <c r="H22" s="2">
        <f t="shared" si="2"/>
        <v>69.613621899944093</v>
      </c>
      <c r="I22" s="2">
        <f t="shared" si="2"/>
        <v>72.736369218635588</v>
      </c>
      <c r="J22" s="2">
        <f t="shared" si="2"/>
        <v>75.900325157794597</v>
      </c>
      <c r="K22" s="2">
        <f t="shared" si="2"/>
        <v>79.099028444647502</v>
      </c>
    </row>
    <row r="23" spans="1:11" x14ac:dyDescent="0.25">
      <c r="A23" t="str">
        <f>A6</f>
        <v>PB=16n</v>
      </c>
      <c r="B23" s="2">
        <f t="shared" ref="B23:K23" si="3">B6*1000000</f>
        <v>56.2024371900254</v>
      </c>
      <c r="C23" s="2">
        <f t="shared" si="3"/>
        <v>57.659242268477499</v>
      </c>
      <c r="D23" s="2">
        <f t="shared" si="3"/>
        <v>59.1255514673311</v>
      </c>
      <c r="E23" s="2">
        <f t="shared" si="3"/>
        <v>60.6022864948945</v>
      </c>
      <c r="F23" s="2">
        <f t="shared" si="3"/>
        <v>62.090094335767006</v>
      </c>
      <c r="G23" s="2">
        <f t="shared" si="3"/>
        <v>63.589331867285892</v>
      </c>
      <c r="H23" s="2">
        <f t="shared" si="3"/>
        <v>65.100068915847004</v>
      </c>
      <c r="I23" s="2">
        <f t="shared" si="3"/>
        <v>68.155012486910408</v>
      </c>
      <c r="J23" s="2">
        <f t="shared" si="3"/>
        <v>71.250758178475493</v>
      </c>
      <c r="K23" s="2">
        <f t="shared" si="3"/>
        <v>74.38079483262041</v>
      </c>
    </row>
    <row r="24" spans="1:11" x14ac:dyDescent="0.25">
      <c r="A24" t="str">
        <f>A7</f>
        <v>Vds=0.45V</v>
      </c>
    </row>
    <row r="25" spans="1:11" x14ac:dyDescent="0.25">
      <c r="A25" t="str">
        <f>A8</f>
        <v>FBBN</v>
      </c>
      <c r="B25">
        <v>0</v>
      </c>
      <c r="C25">
        <v>0.15</v>
      </c>
      <c r="D25">
        <v>0.3</v>
      </c>
      <c r="E25">
        <v>0.45</v>
      </c>
      <c r="F25">
        <v>0.6</v>
      </c>
      <c r="G25">
        <v>0.75</v>
      </c>
      <c r="H25">
        <v>0.9</v>
      </c>
      <c r="I25">
        <v>1.2</v>
      </c>
      <c r="J25">
        <v>1.5</v>
      </c>
      <c r="K25">
        <v>1.8</v>
      </c>
    </row>
    <row r="26" spans="1:11" x14ac:dyDescent="0.25">
      <c r="A26" t="s">
        <v>16</v>
      </c>
      <c r="B26" s="2">
        <v>7.6</v>
      </c>
      <c r="C26" s="2">
        <v>8.7460000000000004</v>
      </c>
      <c r="D26" s="2">
        <v>9.9760000000000009</v>
      </c>
      <c r="E26" s="2">
        <v>11.280000000000001</v>
      </c>
      <c r="F26" s="2">
        <v>12.66</v>
      </c>
      <c r="G26" s="2">
        <v>14.09</v>
      </c>
      <c r="H26" s="2">
        <v>15.58</v>
      </c>
      <c r="I26" s="2">
        <v>18.68</v>
      </c>
      <c r="J26" s="2">
        <v>21.900000000000002</v>
      </c>
      <c r="K26" s="2">
        <v>25.19</v>
      </c>
    </row>
    <row r="27" spans="1:11" x14ac:dyDescent="0.25">
      <c r="A27" t="str">
        <f>A9</f>
        <v>PB=4n</v>
      </c>
      <c r="B27" s="2">
        <f>B11*1000000</f>
        <v>6.6724624514675392</v>
      </c>
      <c r="C27" s="2">
        <f>C11*1000000</f>
        <v>7.7404336724075504</v>
      </c>
      <c r="D27" s="2">
        <f>D11*1000000</f>
        <v>8.8942025007360304</v>
      </c>
      <c r="E27" s="2">
        <f>E11*1000000</f>
        <v>10.127204430254301</v>
      </c>
      <c r="F27" s="2">
        <f>F11*1000000</f>
        <v>11.4319436891615</v>
      </c>
      <c r="G27" s="2">
        <f>G11*1000000</f>
        <v>12.800415670373301</v>
      </c>
      <c r="H27" s="2">
        <f>H11*1000000</f>
        <v>14.224467078734399</v>
      </c>
      <c r="I27" s="2">
        <f>I11*1000000</f>
        <v>17.207629410103998</v>
      </c>
      <c r="J27" s="2">
        <f>J11*1000000</f>
        <v>20.3226685995898</v>
      </c>
      <c r="K27" s="2">
        <f>K11*1000000</f>
        <v>23.520674410751898</v>
      </c>
    </row>
    <row r="28" spans="1:11" x14ac:dyDescent="0.25">
      <c r="A28" t="str">
        <f>A10</f>
        <v>PB=8n</v>
      </c>
      <c r="B28" s="2">
        <f t="shared" ref="B28:K28" si="4">B10*1000000</f>
        <v>5.7508555077027106</v>
      </c>
      <c r="C28" s="2">
        <f t="shared" si="4"/>
        <v>6.7272208527689701</v>
      </c>
      <c r="D28" s="2">
        <f t="shared" si="4"/>
        <v>7.7897878061019901</v>
      </c>
      <c r="E28" s="2">
        <f t="shared" si="4"/>
        <v>8.9328926381008387</v>
      </c>
      <c r="F28" s="2">
        <f t="shared" si="4"/>
        <v>10.149776789092401</v>
      </c>
      <c r="G28" s="2">
        <f t="shared" si="4"/>
        <v>11.432998440856</v>
      </c>
      <c r="H28" s="2">
        <f t="shared" si="4"/>
        <v>12.774794107847699</v>
      </c>
      <c r="I28" s="2">
        <f t="shared" si="4"/>
        <v>15.6032090307703</v>
      </c>
      <c r="J28" s="2">
        <f t="shared" si="4"/>
        <v>18.576597190774301</v>
      </c>
      <c r="K28" s="2">
        <f t="shared" si="4"/>
        <v>21.645022868895602</v>
      </c>
    </row>
    <row r="29" spans="1:11" x14ac:dyDescent="0.25">
      <c r="A29" t="str">
        <f>A11</f>
        <v>PB=16n</v>
      </c>
      <c r="B29" s="2">
        <f>B9*1000000</f>
        <v>4.69857349503057</v>
      </c>
      <c r="C29" s="2">
        <f>C9*1000000</f>
        <v>5.5510422346414208</v>
      </c>
      <c r="D29" s="2">
        <f>D9*1000000</f>
        <v>6.4873049848821402</v>
      </c>
      <c r="E29" s="2">
        <f>E9*1000000</f>
        <v>7.5030586924513205</v>
      </c>
      <c r="F29" s="2">
        <f>F9*1000000</f>
        <v>8.59278367130592</v>
      </c>
      <c r="G29" s="2">
        <f>G9*1000000</f>
        <v>9.7501127207903906</v>
      </c>
      <c r="H29" s="2">
        <f>H9*1000000</f>
        <v>10.9681662947646</v>
      </c>
      <c r="I29" s="2">
        <f>I9*1000000</f>
        <v>13.558094770179499</v>
      </c>
      <c r="J29" s="2">
        <f>J9*1000000</f>
        <v>16.3074384518304</v>
      </c>
      <c r="K29" s="2">
        <f>K9*1000000</f>
        <v>19.1672118499752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lvt_nfet_b_Idssat_vs_FBBN_and_P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Beckett</cp:lastModifiedBy>
  <dcterms:created xsi:type="dcterms:W3CDTF">2022-01-01T04:24:49Z</dcterms:created>
  <dcterms:modified xsi:type="dcterms:W3CDTF">2022-01-01T05:36:15Z</dcterms:modified>
</cp:coreProperties>
</file>