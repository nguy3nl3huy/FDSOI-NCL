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rmit.internal\USRHome\el8\e03108\Configuration\Desktop\HUY_HPC2_FILES\MOSFETs\lvt_nfet_b\FInal Data\"/>
    </mc:Choice>
  </mc:AlternateContent>
  <xr:revisionPtr revIDLastSave="0" documentId="13_ncr:1_{020CD570-DF5F-49BF-BD4F-2C2AD710A1A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lvt_nfet_b_Idsoff_vs_FBBN_and_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4" i="1" l="1"/>
  <c r="B24" i="1"/>
  <c r="C24" i="1"/>
  <c r="D24" i="1"/>
  <c r="E24" i="1"/>
  <c r="F24" i="1"/>
  <c r="G24" i="1"/>
  <c r="H24" i="1"/>
  <c r="I24" i="1"/>
  <c r="J24" i="1"/>
  <c r="K24" i="1"/>
  <c r="A25" i="1"/>
  <c r="B25" i="1"/>
  <c r="C25" i="1"/>
  <c r="D25" i="1"/>
  <c r="E25" i="1"/>
  <c r="F25" i="1"/>
  <c r="G25" i="1"/>
  <c r="H25" i="1"/>
  <c r="I25" i="1"/>
  <c r="J25" i="1"/>
  <c r="K25" i="1"/>
  <c r="A17" i="1"/>
  <c r="B17" i="1"/>
  <c r="C17" i="1"/>
  <c r="D17" i="1"/>
  <c r="E17" i="1"/>
  <c r="F17" i="1"/>
  <c r="G17" i="1"/>
  <c r="H17" i="1"/>
  <c r="I17" i="1"/>
  <c r="J17" i="1"/>
  <c r="K17" i="1"/>
  <c r="A18" i="1"/>
  <c r="B18" i="1"/>
  <c r="C18" i="1"/>
  <c r="D18" i="1"/>
  <c r="E18" i="1"/>
  <c r="F18" i="1"/>
  <c r="G18" i="1"/>
  <c r="H18" i="1"/>
  <c r="I18" i="1"/>
  <c r="J18" i="1"/>
  <c r="K18" i="1"/>
  <c r="A19" i="1"/>
  <c r="B19" i="1"/>
  <c r="C19" i="1"/>
  <c r="D19" i="1"/>
  <c r="E19" i="1"/>
  <c r="F19" i="1"/>
  <c r="G19" i="1"/>
  <c r="H19" i="1"/>
  <c r="I19" i="1"/>
  <c r="J19" i="1"/>
  <c r="K19" i="1"/>
  <c r="A20" i="1"/>
  <c r="B20" i="1"/>
  <c r="C20" i="1"/>
  <c r="D20" i="1"/>
  <c r="E20" i="1"/>
  <c r="F20" i="1"/>
  <c r="G20" i="1"/>
  <c r="H20" i="1"/>
  <c r="I20" i="1"/>
  <c r="J20" i="1"/>
  <c r="K20" i="1"/>
  <c r="A21" i="1"/>
  <c r="A22" i="1"/>
  <c r="B22" i="1"/>
  <c r="C22" i="1"/>
  <c r="D22" i="1"/>
  <c r="E22" i="1"/>
  <c r="F22" i="1"/>
  <c r="G22" i="1"/>
  <c r="H22" i="1"/>
  <c r="I22" i="1"/>
  <c r="J22" i="1"/>
  <c r="K22" i="1"/>
  <c r="A23" i="1"/>
  <c r="B23" i="1"/>
  <c r="C23" i="1"/>
  <c r="D23" i="1"/>
  <c r="E23" i="1"/>
  <c r="F23" i="1"/>
  <c r="G23" i="1"/>
  <c r="H23" i="1"/>
  <c r="I23" i="1"/>
  <c r="J23" i="1"/>
  <c r="K23" i="1"/>
  <c r="B16" i="1"/>
  <c r="C16" i="1"/>
  <c r="D16" i="1"/>
  <c r="E16" i="1"/>
  <c r="F16" i="1"/>
  <c r="G16" i="1"/>
  <c r="H16" i="1"/>
  <c r="I16" i="1"/>
  <c r="J16" i="1"/>
  <c r="K16" i="1"/>
  <c r="A16" i="1"/>
</calcChain>
</file>

<file path=xl/sharedStrings.xml><?xml version="1.0" encoding="utf-8"?>
<sst xmlns="http://schemas.openxmlformats.org/spreadsheetml/2006/main" count="13" uniqueCount="7">
  <si>
    <t>Vds=0.9V</t>
  </si>
  <si>
    <t>Vds=0.45V</t>
  </si>
  <si>
    <t>FBBN</t>
  </si>
  <si>
    <t>No PB</t>
  </si>
  <si>
    <t>PB=4n</t>
  </si>
  <si>
    <t>PB=8n</t>
  </si>
  <si>
    <t>PB=16n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</si>
</sst>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/>
              <a:t>Idsoff vs. FBBN and PB (@Vds=0.9V, W=80n,</a:t>
            </a:r>
            <a:r>
              <a:rPr lang="en-AU" sz="1200" baseline="0"/>
              <a:t> L=30n</a:t>
            </a:r>
            <a:r>
              <a:rPr lang="en-AU" sz="1200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lvt_nfet_b_Idsoff_vs_FBBN_and_P!$A$17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lvt_nfet_b_Idsoff_vs_FBBN_and_P!$B$17:$K$17</c:f>
              <c:numCache>
                <c:formatCode>General</c:formatCode>
                <c:ptCount val="10"/>
                <c:pt idx="0">
                  <c:v>2.77723612176002E-10</c:v>
                </c:pt>
                <c:pt idx="1">
                  <c:v>4.1281629039890898E-10</c:v>
                </c:pt>
                <c:pt idx="2">
                  <c:v>6.1304704622945999E-10</c:v>
                </c:pt>
                <c:pt idx="3">
                  <c:v>9.0920923837671898E-10</c:v>
                </c:pt>
                <c:pt idx="4">
                  <c:v>1.34620910205681E-9</c:v>
                </c:pt>
                <c:pt idx="5">
                  <c:v>1.9892684840804902E-9</c:v>
                </c:pt>
                <c:pt idx="6">
                  <c:v>2.9327156731418298E-9</c:v>
                </c:pt>
                <c:pt idx="7">
                  <c:v>6.3229373064015901E-9</c:v>
                </c:pt>
                <c:pt idx="8">
                  <c:v>1.34635183869931E-8</c:v>
                </c:pt>
                <c:pt idx="9">
                  <c:v>2.8249996674406299E-8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E-4A5C-B6F1-FF3AC57F342E}"/>
            </c:ext>
          </c:extLst>
        </c:ser>
        <c:ser>
          <c:idx val="1"/>
          <c:order val="1"/>
          <c:tx>
            <c:strRef>
              <c:f>lvt_nfet_b_Idsoff_vs_FBBN_and_P!$A$18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lvt_nfet_b_Idsoff_vs_FBBN_and_P!$B$18:$K$18</c:f>
              <c:numCache>
                <c:formatCode>General</c:formatCode>
                <c:ptCount val="10"/>
                <c:pt idx="0">
                  <c:v>1.2170562714269199E-10</c:v>
                </c:pt>
                <c:pt idx="1">
                  <c:v>1.82700386217769E-10</c:v>
                </c:pt>
                <c:pt idx="2">
                  <c:v>2.7411505573765199E-10</c:v>
                </c:pt>
                <c:pt idx="3">
                  <c:v>4.1090260047910999E-10</c:v>
                </c:pt>
                <c:pt idx="4">
                  <c:v>6.1519159795413204E-10</c:v>
                </c:pt>
                <c:pt idx="5">
                  <c:v>9.1961750471832104E-10</c:v>
                </c:pt>
                <c:pt idx="6">
                  <c:v>1.37213800897401E-9</c:v>
                </c:pt>
                <c:pt idx="7">
                  <c:v>3.0344753725563999E-9</c:v>
                </c:pt>
                <c:pt idx="8">
                  <c:v>6.6406743760066603E-9</c:v>
                </c:pt>
                <c:pt idx="9">
                  <c:v>1.43549417709781E-8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E-4A5C-B6F1-FF3AC57F342E}"/>
            </c:ext>
          </c:extLst>
        </c:ser>
        <c:ser>
          <c:idx val="2"/>
          <c:order val="2"/>
          <c:tx>
            <c:strRef>
              <c:f>lvt_nfet_b_Idsoff_vs_FBBN_and_P!$A$19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lvt_nfet_b_Idsoff_vs_FBBN_and_P!$B$19:$K$19</c:f>
              <c:numCache>
                <c:formatCode>General</c:formatCode>
                <c:ptCount val="10"/>
                <c:pt idx="0">
                  <c:v>5.3750074287735803E-11</c:v>
                </c:pt>
                <c:pt idx="1">
                  <c:v>8.1390043287951596E-11</c:v>
                </c:pt>
                <c:pt idx="2">
                  <c:v>1.2322270102603599E-10</c:v>
                </c:pt>
                <c:pt idx="3">
                  <c:v>1.8646318253619699E-10</c:v>
                </c:pt>
                <c:pt idx="4">
                  <c:v>2.8192873801243998E-10</c:v>
                </c:pt>
                <c:pt idx="5">
                  <c:v>4.2579157284061401E-10</c:v>
                </c:pt>
                <c:pt idx="6">
                  <c:v>6.4215768998893804E-10</c:v>
                </c:pt>
                <c:pt idx="7">
                  <c:v>1.45291022482444E-9</c:v>
                </c:pt>
                <c:pt idx="8">
                  <c:v>3.2592532245087801E-9</c:v>
                </c:pt>
                <c:pt idx="9">
                  <c:v>7.2373398127409096E-9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E-4A5C-B6F1-FF3AC57F342E}"/>
            </c:ext>
          </c:extLst>
        </c:ser>
        <c:ser>
          <c:idx val="3"/>
          <c:order val="3"/>
          <c:tx>
            <c:strRef>
              <c:f>lvt_nfet_b_Idsoff_vs_FBBN_and_P!$A$20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lvt_nfet_b_Idsoff_vs_FBBN_and_P!$B$20:$K$20</c:f>
              <c:numCache>
                <c:formatCode>General</c:formatCode>
                <c:ptCount val="10"/>
                <c:pt idx="0">
                  <c:v>2.1200882838461398E-11</c:v>
                </c:pt>
                <c:pt idx="1">
                  <c:v>3.2380456400259199E-11</c:v>
                </c:pt>
                <c:pt idx="2">
                  <c:v>4.94672187297762E-11</c:v>
                </c:pt>
                <c:pt idx="3">
                  <c:v>7.5564935491814496E-11</c:v>
                </c:pt>
                <c:pt idx="4">
                  <c:v>1.15388013890128E-10</c:v>
                </c:pt>
                <c:pt idx="5">
                  <c:v>1.7608201292869801E-10</c:v>
                </c:pt>
                <c:pt idx="6">
                  <c:v>2.6845246991098501E-10</c:v>
                </c:pt>
                <c:pt idx="7">
                  <c:v>6.2165097927817298E-10</c:v>
                </c:pt>
                <c:pt idx="8">
                  <c:v>1.4303651277171601E-9</c:v>
                </c:pt>
                <c:pt idx="9">
                  <c:v>3.2653868946342401E-9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E-4A5C-B6F1-FF3AC57F3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5003264"/>
        <c:axId val="515003592"/>
      </c:lineChart>
      <c:catAx>
        <c:axId val="515003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03592"/>
        <c:crosses val="autoZero"/>
        <c:auto val="1"/>
        <c:lblAlgn val="ctr"/>
        <c:lblOffset val="100"/>
        <c:noMultiLvlLbl val="0"/>
      </c:catAx>
      <c:valAx>
        <c:axId val="515003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Idsoff</a:t>
                </a:r>
                <a:r>
                  <a:rPr lang="en-AU" baseline="0"/>
                  <a:t> (A)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003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 sz="1200" b="0" i="0" baseline="0">
                <a:effectLst/>
              </a:rPr>
              <a:t>Idsoff vs. FBBN and PB (@Vds=0.45V, W=80n, L=30n)</a:t>
            </a:r>
            <a:endParaRPr lang="en-AU" sz="12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lvt_nfet_b_Idsoff_vs_FBBN_and_P!$A$22</c:f>
              <c:strCache>
                <c:ptCount val="1"/>
                <c:pt idx="0">
                  <c:v>No PB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lvt_nfet_b_Idsoff_vs_FBBN_and_P!$B$22:$K$22</c:f>
              <c:numCache>
                <c:formatCode>General</c:formatCode>
                <c:ptCount val="10"/>
                <c:pt idx="0">
                  <c:v>1.4002789312694999E-10</c:v>
                </c:pt>
                <c:pt idx="1">
                  <c:v>2.0836318492325699E-10</c:v>
                </c:pt>
                <c:pt idx="2">
                  <c:v>3.0986639476212499E-10</c:v>
                </c:pt>
                <c:pt idx="3">
                  <c:v>4.6036783339020298E-10</c:v>
                </c:pt>
                <c:pt idx="4">
                  <c:v>6.8304348816874805E-10</c:v>
                </c:pt>
                <c:pt idx="5">
                  <c:v>1.0116927410306601E-9</c:v>
                </c:pt>
                <c:pt idx="6">
                  <c:v>1.4954077347100501E-9</c:v>
                </c:pt>
                <c:pt idx="7">
                  <c:v>3.24328041641929E-9</c:v>
                </c:pt>
                <c:pt idx="8">
                  <c:v>6.9530257721505603E-9</c:v>
                </c:pt>
                <c:pt idx="9">
                  <c:v>1.47058432845328E-8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25-45D3-B2F0-FA32F49F6635}"/>
            </c:ext>
          </c:extLst>
        </c:ser>
        <c:ser>
          <c:idx val="1"/>
          <c:order val="1"/>
          <c:tx>
            <c:strRef>
              <c:f>lvt_nfet_b_Idsoff_vs_FBBN_and_P!$A$23</c:f>
              <c:strCache>
                <c:ptCount val="1"/>
                <c:pt idx="0">
                  <c:v>PB=4n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lvt_nfet_b_Idsoff_vs_FBBN_and_P!$B$23:$K$23</c:f>
              <c:numCache>
                <c:formatCode>General</c:formatCode>
                <c:ptCount val="10"/>
                <c:pt idx="0">
                  <c:v>7.0022965878208305E-11</c:v>
                </c:pt>
                <c:pt idx="1">
                  <c:v>1.0512328292734E-10</c:v>
                </c:pt>
                <c:pt idx="2">
                  <c:v>1.57774352510107E-10</c:v>
                </c:pt>
                <c:pt idx="3">
                  <c:v>2.3664288171847701E-10</c:v>
                </c:pt>
                <c:pt idx="4">
                  <c:v>3.5458176113494698E-10</c:v>
                </c:pt>
                <c:pt idx="5">
                  <c:v>5.3059012097182001E-10</c:v>
                </c:pt>
                <c:pt idx="6">
                  <c:v>7.9265563567782098E-10</c:v>
                </c:pt>
                <c:pt idx="7">
                  <c:v>1.7582647886376299E-9</c:v>
                </c:pt>
                <c:pt idx="8">
                  <c:v>3.8620522488093697E-9</c:v>
                </c:pt>
                <c:pt idx="9">
                  <c:v>8.3851700772911194E-9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225-45D3-B2F0-FA32F49F6635}"/>
            </c:ext>
          </c:extLst>
        </c:ser>
        <c:ser>
          <c:idx val="2"/>
          <c:order val="2"/>
          <c:tx>
            <c:strRef>
              <c:f>lvt_nfet_b_Idsoff_vs_FBBN_and_P!$A$24</c:f>
              <c:strCache>
                <c:ptCount val="1"/>
                <c:pt idx="0">
                  <c:v>PB=8n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lvt_nfet_b_Idsoff_vs_FBBN_and_P!$B$24:$K$24</c:f>
              <c:numCache>
                <c:formatCode>General</c:formatCode>
                <c:ptCount val="10"/>
                <c:pt idx="0">
                  <c:v>3.4910478270723901E-11</c:v>
                </c:pt>
                <c:pt idx="1">
                  <c:v>5.2832132426219102E-11</c:v>
                </c:pt>
                <c:pt idx="2">
                  <c:v>7.9955410154584897E-11</c:v>
                </c:pt>
                <c:pt idx="3">
                  <c:v>1.20963772947433E-10</c:v>
                </c:pt>
                <c:pt idx="4">
                  <c:v>1.8288457527812801E-10</c:v>
                </c:pt>
                <c:pt idx="5">
                  <c:v>2.7623392407437398E-10</c:v>
                </c:pt>
                <c:pt idx="6">
                  <c:v>4.1670376251073203E-10</c:v>
                </c:pt>
                <c:pt idx="7">
                  <c:v>9.436590056032459E-10</c:v>
                </c:pt>
                <c:pt idx="8">
                  <c:v>2.1198443040086001E-9</c:v>
                </c:pt>
                <c:pt idx="9">
                  <c:v>4.71605511598543E-9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225-45D3-B2F0-FA32F49F6635}"/>
            </c:ext>
          </c:extLst>
        </c:ser>
        <c:ser>
          <c:idx val="3"/>
          <c:order val="3"/>
          <c:tx>
            <c:strRef>
              <c:f>lvt_nfet_b_Idsoff_vs_FBBN_and_P!$A$25</c:f>
              <c:strCache>
                <c:ptCount val="1"/>
                <c:pt idx="0">
                  <c:v>PB=16n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lvt_nfet_b_Idsoff_vs_FBBN_and_P!$B$16:$K$16</c:f>
              <c:numCache>
                <c:formatCode>General</c:formatCode>
                <c:ptCount val="10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0.45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1.2</c:v>
                </c:pt>
                <c:pt idx="8">
                  <c:v>1.5</c:v>
                </c:pt>
                <c:pt idx="9">
                  <c:v>1.8</c:v>
                </c:pt>
              </c:numCache>
            </c:numRef>
          </c:cat>
          <c:val>
            <c:numRef>
              <c:f>lvt_nfet_b_Idsoff_vs_FBBN_and_P!$B$25:$K$25</c:f>
              <c:numCache>
                <c:formatCode>General</c:formatCode>
                <c:ptCount val="10"/>
                <c:pt idx="0">
                  <c:v>1.5565833431490501E-11</c:v>
                </c:pt>
                <c:pt idx="1">
                  <c:v>2.3751895829728701E-11</c:v>
                </c:pt>
                <c:pt idx="2">
                  <c:v>3.62556492509436E-11</c:v>
                </c:pt>
                <c:pt idx="3">
                  <c:v>5.5343315670081702E-11</c:v>
                </c:pt>
                <c:pt idx="4">
                  <c:v>8.4456678996946799E-11</c:v>
                </c:pt>
                <c:pt idx="5">
                  <c:v>1.2881216052861E-10</c:v>
                </c:pt>
                <c:pt idx="6">
                  <c:v>1.9629834652624101E-10</c:v>
                </c:pt>
                <c:pt idx="7">
                  <c:v>4.54278915693432E-10</c:v>
                </c:pt>
                <c:pt idx="8">
                  <c:v>1.0449401889134E-9</c:v>
                </c:pt>
                <c:pt idx="9">
                  <c:v>2.3855045831997102E-9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225-45D3-B2F0-FA32F49F6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5404376"/>
        <c:axId val="585404704"/>
      </c:lineChart>
      <c:catAx>
        <c:axId val="5854043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04704"/>
        <c:crosses val="autoZero"/>
        <c:auto val="1"/>
        <c:lblAlgn val="ctr"/>
        <c:lblOffset val="100"/>
        <c:noMultiLvlLbl val="0"/>
      </c:catAx>
      <c:valAx>
        <c:axId val="58540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Idsoff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540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200025</xdr:colOff>
      <xdr:row>12</xdr:row>
      <xdr:rowOff>23812</xdr:rowOff>
    </xdr:from>
    <xdr:to>
      <xdr:col>18</xdr:col>
      <xdr:colOff>504825</xdr:colOff>
      <xdr:row>26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0082F-8B2B-4857-B8C4-D2D8EF9E5B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171450</xdr:colOff>
      <xdr:row>26</xdr:row>
      <xdr:rowOff>166687</xdr:rowOff>
    </xdr:from>
    <xdr:to>
      <xdr:col>18</xdr:col>
      <xdr:colOff>476250</xdr:colOff>
      <xdr:row>41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EB73E6-F4D3-4B6B-8190-10FC0E748B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0" workbookViewId="0">
      <selection activeCell="H32" sqref="H32"/>
    </sheetView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2</v>
      </c>
      <c r="B2">
        <v>0</v>
      </c>
      <c r="C2">
        <v>0.15</v>
      </c>
      <c r="D2">
        <v>0.3</v>
      </c>
      <c r="E2">
        <v>0.45</v>
      </c>
      <c r="F2">
        <v>0.6</v>
      </c>
      <c r="G2">
        <v>0.75</v>
      </c>
      <c r="H2">
        <v>0.9</v>
      </c>
      <c r="I2">
        <v>1.2</v>
      </c>
      <c r="J2">
        <v>1.5</v>
      </c>
      <c r="K2">
        <v>1.8</v>
      </c>
    </row>
    <row r="3" spans="1:11" x14ac:dyDescent="0.25">
      <c r="A3" t="s">
        <v>3</v>
      </c>
      <c r="B3" s="1">
        <v>2.77723612176002E-10</v>
      </c>
      <c r="C3" s="1">
        <v>4.1281629039890898E-10</v>
      </c>
      <c r="D3" s="1">
        <v>6.1304704622945999E-10</v>
      </c>
      <c r="E3" s="1">
        <v>9.0920923837671898E-10</v>
      </c>
      <c r="F3" s="1">
        <v>1.34620910205681E-9</v>
      </c>
      <c r="G3" s="1">
        <v>1.9892684840804902E-9</v>
      </c>
      <c r="H3" s="1">
        <v>2.9327156731418298E-9</v>
      </c>
      <c r="I3" s="1">
        <v>6.3229373064015901E-9</v>
      </c>
      <c r="J3" s="1">
        <v>1.34635183869931E-8</v>
      </c>
      <c r="K3" s="1">
        <v>2.8249996674406299E-8</v>
      </c>
    </row>
    <row r="4" spans="1:11" x14ac:dyDescent="0.25">
      <c r="A4" t="s">
        <v>4</v>
      </c>
      <c r="B4" s="1">
        <v>1.2170562714269199E-10</v>
      </c>
      <c r="C4" s="1">
        <v>1.82700386217769E-10</v>
      </c>
      <c r="D4" s="1">
        <v>2.7411505573765199E-10</v>
      </c>
      <c r="E4" s="1">
        <v>4.1090260047910999E-10</v>
      </c>
      <c r="F4" s="1">
        <v>6.1519159795413204E-10</v>
      </c>
      <c r="G4" s="1">
        <v>9.1961750471832104E-10</v>
      </c>
      <c r="H4" s="1">
        <v>1.37213800897401E-9</v>
      </c>
      <c r="I4" s="1">
        <v>3.0344753725563999E-9</v>
      </c>
      <c r="J4" s="1">
        <v>6.6406743760066603E-9</v>
      </c>
      <c r="K4" s="1">
        <v>1.43549417709781E-8</v>
      </c>
    </row>
    <row r="5" spans="1:11" x14ac:dyDescent="0.25">
      <c r="A5" t="s">
        <v>5</v>
      </c>
      <c r="B5" s="1">
        <v>5.3750074287735803E-11</v>
      </c>
      <c r="C5" s="1">
        <v>8.1390043287951596E-11</v>
      </c>
      <c r="D5" s="1">
        <v>1.2322270102603599E-10</v>
      </c>
      <c r="E5" s="1">
        <v>1.8646318253619699E-10</v>
      </c>
      <c r="F5" s="1">
        <v>2.8192873801243998E-10</v>
      </c>
      <c r="G5" s="1">
        <v>4.2579157284061401E-10</v>
      </c>
      <c r="H5" s="1">
        <v>6.4215768998893804E-10</v>
      </c>
      <c r="I5" s="1">
        <v>1.45291022482444E-9</v>
      </c>
      <c r="J5" s="1">
        <v>3.2592532245087801E-9</v>
      </c>
      <c r="K5" s="1">
        <v>7.2373398127409096E-9</v>
      </c>
    </row>
    <row r="6" spans="1:11" x14ac:dyDescent="0.25">
      <c r="A6" t="s">
        <v>6</v>
      </c>
      <c r="B6" s="1">
        <v>2.1200882838461398E-11</v>
      </c>
      <c r="C6" s="1">
        <v>3.2380456400259199E-11</v>
      </c>
      <c r="D6" s="1">
        <v>4.94672187297762E-11</v>
      </c>
      <c r="E6" s="1">
        <v>7.5564935491814496E-11</v>
      </c>
      <c r="F6" s="1">
        <v>1.15388013890128E-10</v>
      </c>
      <c r="G6" s="1">
        <v>1.7608201292869801E-10</v>
      </c>
      <c r="H6" s="1">
        <v>2.6845246991098501E-10</v>
      </c>
      <c r="I6" s="1">
        <v>6.2165097927817298E-10</v>
      </c>
      <c r="J6" s="1">
        <v>1.4303651277171601E-9</v>
      </c>
      <c r="K6" s="1">
        <v>3.2653868946342401E-9</v>
      </c>
    </row>
    <row r="7" spans="1:11" x14ac:dyDescent="0.25">
      <c r="A7" t="s">
        <v>1</v>
      </c>
    </row>
    <row r="8" spans="1:11" x14ac:dyDescent="0.25">
      <c r="A8" t="s">
        <v>2</v>
      </c>
      <c r="B8">
        <v>0</v>
      </c>
      <c r="C8">
        <v>0.15</v>
      </c>
      <c r="D8">
        <v>0.3</v>
      </c>
      <c r="E8">
        <v>0.45</v>
      </c>
      <c r="F8">
        <v>0.6</v>
      </c>
      <c r="G8">
        <v>0.75</v>
      </c>
      <c r="H8">
        <v>0.9</v>
      </c>
      <c r="I8">
        <v>1.2</v>
      </c>
      <c r="J8">
        <v>1.5</v>
      </c>
      <c r="K8">
        <v>1.8</v>
      </c>
    </row>
    <row r="9" spans="1:11" x14ac:dyDescent="0.25">
      <c r="A9" t="s">
        <v>3</v>
      </c>
      <c r="B9" s="1">
        <v>1.4002789312694999E-10</v>
      </c>
      <c r="C9" s="1">
        <v>2.0836318492325699E-10</v>
      </c>
      <c r="D9" s="1">
        <v>3.0986639476212499E-10</v>
      </c>
      <c r="E9" s="1">
        <v>4.6036783339020298E-10</v>
      </c>
      <c r="F9" s="1">
        <v>6.8304348816874805E-10</v>
      </c>
      <c r="G9" s="1">
        <v>1.0116927410306601E-9</v>
      </c>
      <c r="H9" s="1">
        <v>1.4954077347100501E-9</v>
      </c>
      <c r="I9" s="1">
        <v>3.24328041641929E-9</v>
      </c>
      <c r="J9" s="1">
        <v>6.9530257721505603E-9</v>
      </c>
      <c r="K9" s="1">
        <v>1.47058432845328E-8</v>
      </c>
    </row>
    <row r="10" spans="1:11" x14ac:dyDescent="0.25">
      <c r="A10" t="s">
        <v>4</v>
      </c>
      <c r="B10" s="1">
        <v>7.0022965878208305E-11</v>
      </c>
      <c r="C10" s="1">
        <v>1.0512328292734E-10</v>
      </c>
      <c r="D10" s="1">
        <v>1.57774352510107E-10</v>
      </c>
      <c r="E10" s="1">
        <v>2.3664288171847701E-10</v>
      </c>
      <c r="F10" s="1">
        <v>3.5458176113494698E-10</v>
      </c>
      <c r="G10" s="1">
        <v>5.3059012097182001E-10</v>
      </c>
      <c r="H10" s="1">
        <v>7.9265563567782098E-10</v>
      </c>
      <c r="I10" s="1">
        <v>1.7582647886376299E-9</v>
      </c>
      <c r="J10" s="1">
        <v>3.8620522488093697E-9</v>
      </c>
      <c r="K10" s="1">
        <v>8.3851700772911194E-9</v>
      </c>
    </row>
    <row r="11" spans="1:11" x14ac:dyDescent="0.25">
      <c r="A11" t="s">
        <v>5</v>
      </c>
      <c r="B11" s="1">
        <v>3.4910478270723901E-11</v>
      </c>
      <c r="C11" s="1">
        <v>5.2832132426219102E-11</v>
      </c>
      <c r="D11" s="1">
        <v>7.9955410154584897E-11</v>
      </c>
      <c r="E11" s="1">
        <v>1.20963772947433E-10</v>
      </c>
      <c r="F11" s="1">
        <v>1.8288457527812801E-10</v>
      </c>
      <c r="G11" s="1">
        <v>2.7623392407437398E-10</v>
      </c>
      <c r="H11" s="1">
        <v>4.1670376251073203E-10</v>
      </c>
      <c r="I11" s="1">
        <v>9.436590056032459E-10</v>
      </c>
      <c r="J11" s="1">
        <v>2.1198443040086001E-9</v>
      </c>
      <c r="K11" s="1">
        <v>4.71605511598543E-9</v>
      </c>
    </row>
    <row r="12" spans="1:11" x14ac:dyDescent="0.25">
      <c r="A12" t="s">
        <v>6</v>
      </c>
      <c r="B12" s="1">
        <v>1.5565833431490501E-11</v>
      </c>
      <c r="C12" s="1">
        <v>2.3751895829728701E-11</v>
      </c>
      <c r="D12" s="1">
        <v>3.62556492509436E-11</v>
      </c>
      <c r="E12" s="1">
        <v>5.5343315670081702E-11</v>
      </c>
      <c r="F12" s="1">
        <v>8.4456678996946799E-11</v>
      </c>
      <c r="G12" s="1">
        <v>1.2881216052861E-10</v>
      </c>
      <c r="H12" s="1">
        <v>1.9629834652624101E-10</v>
      </c>
      <c r="I12" s="1">
        <v>4.54278915693432E-10</v>
      </c>
      <c r="J12" s="1">
        <v>1.0449401889134E-9</v>
      </c>
      <c r="K12" s="1">
        <v>2.3855045831997102E-9</v>
      </c>
    </row>
    <row r="15" spans="1:11" x14ac:dyDescent="0.25">
      <c r="A15" t="s">
        <v>0</v>
      </c>
    </row>
    <row r="16" spans="1:11" x14ac:dyDescent="0.25">
      <c r="A16" t="str">
        <f>A2</f>
        <v>FBBN</v>
      </c>
      <c r="B16">
        <f t="shared" ref="B16:K16" si="0">B2</f>
        <v>0</v>
      </c>
      <c r="C16">
        <f t="shared" si="0"/>
        <v>0.15</v>
      </c>
      <c r="D16">
        <f t="shared" si="0"/>
        <v>0.3</v>
      </c>
      <c r="E16">
        <f t="shared" si="0"/>
        <v>0.45</v>
      </c>
      <c r="F16">
        <f t="shared" si="0"/>
        <v>0.6</v>
      </c>
      <c r="G16">
        <f t="shared" si="0"/>
        <v>0.75</v>
      </c>
      <c r="H16">
        <f t="shared" si="0"/>
        <v>0.9</v>
      </c>
      <c r="I16">
        <f t="shared" si="0"/>
        <v>1.2</v>
      </c>
      <c r="J16">
        <f t="shared" si="0"/>
        <v>1.5</v>
      </c>
      <c r="K16">
        <f t="shared" si="0"/>
        <v>1.8</v>
      </c>
    </row>
    <row r="17" spans="1:11" x14ac:dyDescent="0.25">
      <c r="A17" t="str">
        <f t="shared" ref="A17:K17" si="1">A3</f>
        <v>No PB</v>
      </c>
      <c r="B17">
        <f t="shared" si="1"/>
        <v>2.77723612176002E-10</v>
      </c>
      <c r="C17">
        <f t="shared" si="1"/>
        <v>4.1281629039890898E-10</v>
      </c>
      <c r="D17">
        <f t="shared" si="1"/>
        <v>6.1304704622945999E-10</v>
      </c>
      <c r="E17">
        <f t="shared" si="1"/>
        <v>9.0920923837671898E-10</v>
      </c>
      <c r="F17">
        <f t="shared" si="1"/>
        <v>1.34620910205681E-9</v>
      </c>
      <c r="G17">
        <f t="shared" si="1"/>
        <v>1.9892684840804902E-9</v>
      </c>
      <c r="H17">
        <f t="shared" si="1"/>
        <v>2.9327156731418298E-9</v>
      </c>
      <c r="I17">
        <f t="shared" si="1"/>
        <v>6.3229373064015901E-9</v>
      </c>
      <c r="J17">
        <f t="shared" si="1"/>
        <v>1.34635183869931E-8</v>
      </c>
      <c r="K17">
        <f t="shared" si="1"/>
        <v>2.8249996674406299E-8</v>
      </c>
    </row>
    <row r="18" spans="1:11" x14ac:dyDescent="0.25">
      <c r="A18" t="str">
        <f t="shared" ref="A18:K18" si="2">A4</f>
        <v>PB=4n</v>
      </c>
      <c r="B18">
        <f t="shared" si="2"/>
        <v>1.2170562714269199E-10</v>
      </c>
      <c r="C18">
        <f t="shared" si="2"/>
        <v>1.82700386217769E-10</v>
      </c>
      <c r="D18">
        <f t="shared" si="2"/>
        <v>2.7411505573765199E-10</v>
      </c>
      <c r="E18">
        <f t="shared" si="2"/>
        <v>4.1090260047910999E-10</v>
      </c>
      <c r="F18">
        <f t="shared" si="2"/>
        <v>6.1519159795413204E-10</v>
      </c>
      <c r="G18">
        <f t="shared" si="2"/>
        <v>9.1961750471832104E-10</v>
      </c>
      <c r="H18">
        <f t="shared" si="2"/>
        <v>1.37213800897401E-9</v>
      </c>
      <c r="I18">
        <f t="shared" si="2"/>
        <v>3.0344753725563999E-9</v>
      </c>
      <c r="J18">
        <f t="shared" si="2"/>
        <v>6.6406743760066603E-9</v>
      </c>
      <c r="K18">
        <f t="shared" si="2"/>
        <v>1.43549417709781E-8</v>
      </c>
    </row>
    <row r="19" spans="1:11" x14ac:dyDescent="0.25">
      <c r="A19" t="str">
        <f t="shared" ref="A19:K19" si="3">A5</f>
        <v>PB=8n</v>
      </c>
      <c r="B19">
        <f t="shared" si="3"/>
        <v>5.3750074287735803E-11</v>
      </c>
      <c r="C19">
        <f t="shared" si="3"/>
        <v>8.1390043287951596E-11</v>
      </c>
      <c r="D19">
        <f t="shared" si="3"/>
        <v>1.2322270102603599E-10</v>
      </c>
      <c r="E19">
        <f t="shared" si="3"/>
        <v>1.8646318253619699E-10</v>
      </c>
      <c r="F19">
        <f t="shared" si="3"/>
        <v>2.8192873801243998E-10</v>
      </c>
      <c r="G19">
        <f t="shared" si="3"/>
        <v>4.2579157284061401E-10</v>
      </c>
      <c r="H19">
        <f t="shared" si="3"/>
        <v>6.4215768998893804E-10</v>
      </c>
      <c r="I19">
        <f t="shared" si="3"/>
        <v>1.45291022482444E-9</v>
      </c>
      <c r="J19">
        <f t="shared" si="3"/>
        <v>3.2592532245087801E-9</v>
      </c>
      <c r="K19">
        <f t="shared" si="3"/>
        <v>7.2373398127409096E-9</v>
      </c>
    </row>
    <row r="20" spans="1:11" x14ac:dyDescent="0.25">
      <c r="A20" t="str">
        <f t="shared" ref="A20:K20" si="4">A6</f>
        <v>PB=16n</v>
      </c>
      <c r="B20">
        <f t="shared" si="4"/>
        <v>2.1200882838461398E-11</v>
      </c>
      <c r="C20">
        <f t="shared" si="4"/>
        <v>3.2380456400259199E-11</v>
      </c>
      <c r="D20">
        <f t="shared" si="4"/>
        <v>4.94672187297762E-11</v>
      </c>
      <c r="E20">
        <f t="shared" si="4"/>
        <v>7.5564935491814496E-11</v>
      </c>
      <c r="F20">
        <f t="shared" si="4"/>
        <v>1.15388013890128E-10</v>
      </c>
      <c r="G20">
        <f t="shared" si="4"/>
        <v>1.7608201292869801E-10</v>
      </c>
      <c r="H20">
        <f t="shared" si="4"/>
        <v>2.6845246991098501E-10</v>
      </c>
      <c r="I20">
        <f t="shared" si="4"/>
        <v>6.2165097927817298E-10</v>
      </c>
      <c r="J20">
        <f t="shared" si="4"/>
        <v>1.4303651277171601E-9</v>
      </c>
      <c r="K20">
        <f t="shared" si="4"/>
        <v>3.2653868946342401E-9</v>
      </c>
    </row>
    <row r="21" spans="1:11" x14ac:dyDescent="0.25">
      <c r="A21" t="str">
        <f t="shared" ref="A21" si="5">A7</f>
        <v>Vds=0.45V</v>
      </c>
    </row>
    <row r="22" spans="1:11" x14ac:dyDescent="0.25">
      <c r="A22" t="str">
        <f t="shared" ref="A22:K22" si="6">A9</f>
        <v>No PB</v>
      </c>
      <c r="B22">
        <f t="shared" si="6"/>
        <v>1.4002789312694999E-10</v>
      </c>
      <c r="C22">
        <f t="shared" si="6"/>
        <v>2.0836318492325699E-10</v>
      </c>
      <c r="D22">
        <f t="shared" si="6"/>
        <v>3.0986639476212499E-10</v>
      </c>
      <c r="E22">
        <f t="shared" si="6"/>
        <v>4.6036783339020298E-10</v>
      </c>
      <c r="F22">
        <f t="shared" si="6"/>
        <v>6.8304348816874805E-10</v>
      </c>
      <c r="G22">
        <f t="shared" si="6"/>
        <v>1.0116927410306601E-9</v>
      </c>
      <c r="H22">
        <f t="shared" si="6"/>
        <v>1.4954077347100501E-9</v>
      </c>
      <c r="I22">
        <f t="shared" si="6"/>
        <v>3.24328041641929E-9</v>
      </c>
      <c r="J22">
        <f t="shared" si="6"/>
        <v>6.9530257721505603E-9</v>
      </c>
      <c r="K22">
        <f t="shared" si="6"/>
        <v>1.47058432845328E-8</v>
      </c>
    </row>
    <row r="23" spans="1:11" x14ac:dyDescent="0.25">
      <c r="A23" t="str">
        <f t="shared" ref="A23:K23" si="7">A10</f>
        <v>PB=4n</v>
      </c>
      <c r="B23">
        <f t="shared" si="7"/>
        <v>7.0022965878208305E-11</v>
      </c>
      <c r="C23">
        <f t="shared" si="7"/>
        <v>1.0512328292734E-10</v>
      </c>
      <c r="D23">
        <f t="shared" si="7"/>
        <v>1.57774352510107E-10</v>
      </c>
      <c r="E23">
        <f t="shared" si="7"/>
        <v>2.3664288171847701E-10</v>
      </c>
      <c r="F23">
        <f t="shared" si="7"/>
        <v>3.5458176113494698E-10</v>
      </c>
      <c r="G23">
        <f t="shared" si="7"/>
        <v>5.3059012097182001E-10</v>
      </c>
      <c r="H23">
        <f t="shared" si="7"/>
        <v>7.9265563567782098E-10</v>
      </c>
      <c r="I23">
        <f t="shared" si="7"/>
        <v>1.7582647886376299E-9</v>
      </c>
      <c r="J23">
        <f t="shared" si="7"/>
        <v>3.8620522488093697E-9</v>
      </c>
      <c r="K23">
        <f t="shared" si="7"/>
        <v>8.3851700772911194E-9</v>
      </c>
    </row>
    <row r="24" spans="1:11" x14ac:dyDescent="0.25">
      <c r="A24" t="str">
        <f>A11</f>
        <v>PB=8n</v>
      </c>
      <c r="B24">
        <f t="shared" ref="B24:K24" si="8">B11</f>
        <v>3.4910478270723901E-11</v>
      </c>
      <c r="C24">
        <f t="shared" si="8"/>
        <v>5.2832132426219102E-11</v>
      </c>
      <c r="D24">
        <f t="shared" si="8"/>
        <v>7.9955410154584897E-11</v>
      </c>
      <c r="E24">
        <f t="shared" si="8"/>
        <v>1.20963772947433E-10</v>
      </c>
      <c r="F24">
        <f t="shared" si="8"/>
        <v>1.8288457527812801E-10</v>
      </c>
      <c r="G24">
        <f t="shared" si="8"/>
        <v>2.7623392407437398E-10</v>
      </c>
      <c r="H24">
        <f t="shared" si="8"/>
        <v>4.1670376251073203E-10</v>
      </c>
      <c r="I24">
        <f t="shared" si="8"/>
        <v>9.436590056032459E-10</v>
      </c>
      <c r="J24">
        <f t="shared" si="8"/>
        <v>2.1198443040086001E-9</v>
      </c>
      <c r="K24">
        <f t="shared" si="8"/>
        <v>4.71605511598543E-9</v>
      </c>
    </row>
    <row r="25" spans="1:11" x14ac:dyDescent="0.25">
      <c r="A25" t="str">
        <f t="shared" ref="A25:K25" si="9">A12</f>
        <v>PB=16n</v>
      </c>
      <c r="B25">
        <f t="shared" si="9"/>
        <v>1.5565833431490501E-11</v>
      </c>
      <c r="C25">
        <f t="shared" si="9"/>
        <v>2.3751895829728701E-11</v>
      </c>
      <c r="D25">
        <f t="shared" si="9"/>
        <v>3.62556492509436E-11</v>
      </c>
      <c r="E25">
        <f t="shared" si="9"/>
        <v>5.5343315670081702E-11</v>
      </c>
      <c r="F25">
        <f t="shared" si="9"/>
        <v>8.4456678996946799E-11</v>
      </c>
      <c r="G25">
        <f t="shared" si="9"/>
        <v>1.2881216052861E-10</v>
      </c>
      <c r="H25">
        <f t="shared" si="9"/>
        <v>1.9629834652624101E-10</v>
      </c>
      <c r="I25">
        <f t="shared" si="9"/>
        <v>4.54278915693432E-10</v>
      </c>
      <c r="J25">
        <f t="shared" si="9"/>
        <v>1.0449401889134E-9</v>
      </c>
      <c r="K25">
        <f t="shared" si="9"/>
        <v>2.3855045831997102E-9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lvt_nfet_b_Idsoff_vs_FBBN_and_P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Beckett</cp:lastModifiedBy>
  <dcterms:created xsi:type="dcterms:W3CDTF">2022-01-01T05:50:57Z</dcterms:created>
  <dcterms:modified xsi:type="dcterms:W3CDTF">2022-01-04T04:08:39Z</dcterms:modified>
</cp:coreProperties>
</file>