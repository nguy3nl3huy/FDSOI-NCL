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miteduau-my.sharepoint.com/personal/huy_nguyenle_rmit_edu_vn/Documents/Research/My PhD/PhD_Thesis/Reports/HUY_HPC2_FILES/MOSFETs/lvt_nfet_b/FInal Data/"/>
    </mc:Choice>
  </mc:AlternateContent>
  <xr:revisionPtr revIDLastSave="0" documentId="13_ncr:1_{92AF87A3-D5BD-4433-91FF-D5AFCFF821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vt_nfet_b_VT_atVds0p9V_FBBN0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J31" i="1"/>
  <c r="K31" i="1"/>
  <c r="L31" i="1"/>
  <c r="M31" i="1"/>
  <c r="N31" i="1"/>
  <c r="C30" i="1"/>
  <c r="D30" i="1"/>
  <c r="E30" i="1"/>
  <c r="F30" i="1"/>
  <c r="G30" i="1"/>
  <c r="H30" i="1"/>
  <c r="I30" i="1"/>
  <c r="J30" i="1"/>
  <c r="K30" i="1"/>
  <c r="L30" i="1"/>
  <c r="M30" i="1"/>
  <c r="N30" i="1"/>
  <c r="B30" i="1"/>
  <c r="C29" i="1"/>
  <c r="D29" i="1" s="1"/>
  <c r="E29" i="1" s="1"/>
  <c r="F29" i="1" s="1"/>
  <c r="G29" i="1" s="1"/>
  <c r="H29" i="1" s="1"/>
  <c r="I29" i="1" s="1"/>
  <c r="J29" i="1" s="1"/>
  <c r="K29" i="1" s="1"/>
  <c r="L29" i="1" s="1"/>
  <c r="M29" i="1" s="1"/>
  <c r="N29" i="1" s="1"/>
  <c r="C3" i="1"/>
  <c r="D3" i="1" s="1"/>
  <c r="E3" i="1" s="1"/>
  <c r="F3" i="1" s="1"/>
  <c r="G3" i="1" s="1"/>
  <c r="H3" i="1" s="1"/>
  <c r="I3" i="1" s="1"/>
  <c r="J3" i="1" s="1"/>
  <c r="K3" i="1" s="1"/>
  <c r="L3" i="1" s="1"/>
  <c r="M3" i="1" s="1"/>
  <c r="N3" i="1" s="1"/>
  <c r="R3" i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</calcChain>
</file>

<file path=xl/sharedStrings.xml><?xml version="1.0" encoding="utf-8"?>
<sst xmlns="http://schemas.openxmlformats.org/spreadsheetml/2006/main" count="30" uniqueCount="13">
  <si>
    <t>3.3E-6A</t>
  </si>
  <si>
    <t>Ids=</t>
  </si>
  <si>
    <t>VT (V)</t>
  </si>
  <si>
    <t>Vds=</t>
  </si>
  <si>
    <t>0.9V</t>
  </si>
  <si>
    <t>450mV</t>
  </si>
  <si>
    <t>W=</t>
  </si>
  <si>
    <t>1um</t>
  </si>
  <si>
    <t>L=</t>
  </si>
  <si>
    <t>30nm</t>
  </si>
  <si>
    <t>FBBN (V)</t>
  </si>
  <si>
    <t>VT (mV) at Vds=0.45V</t>
  </si>
  <si>
    <t>VT (mV) at Vds=0.9V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</si>
</sst>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lvt_nfet_b VT (V)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lvt_nfet_b_VT_atVds0p9V_FBBN0to!$A$4</c:f>
              <c:strCache>
                <c:ptCount val="1"/>
                <c:pt idx="0">
                  <c:v>VT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lvt_nfet_b_VT_atVds0p9V_FBBN0to!$B$3:$N$3</c:f>
              <c:numCache>
                <c:formatCode>General</c:formatCode>
                <c:ptCount val="1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0.44999999999999996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1.3499999999999999</c:v>
                </c:pt>
                <c:pt idx="10">
                  <c:v>1.4999999999999998</c:v>
                </c:pt>
                <c:pt idx="11">
                  <c:v>1.6499999999999997</c:v>
                </c:pt>
                <c:pt idx="12">
                  <c:v>1.7999999999999996</c:v>
                </c:pt>
              </c:numCache>
            </c:numRef>
          </c:cat>
          <c:val>
            <c:numRef>
              <c:f>lvt_nfet_b_VT_atVds0p9V_FBBN0to!$B$4:$N$4</c:f>
              <c:numCache>
                <c:formatCode>General</c:formatCode>
                <c:ptCount val="13"/>
                <c:pt idx="0">
                  <c:v>0.22979474102011699</c:v>
                </c:pt>
                <c:pt idx="1">
                  <c:v>0.216173104478532</c:v>
                </c:pt>
                <c:pt idx="2">
                  <c:v>0.202756076265379</c:v>
                </c:pt>
                <c:pt idx="3">
                  <c:v>0.189425343494178</c:v>
                </c:pt>
                <c:pt idx="4">
                  <c:v>0.175695246718089</c:v>
                </c:pt>
                <c:pt idx="5">
                  <c:v>0.162202528763884</c:v>
                </c:pt>
                <c:pt idx="6">
                  <c:v>0.14868540361854099</c:v>
                </c:pt>
                <c:pt idx="7">
                  <c:v>0.13493390986426601</c:v>
                </c:pt>
                <c:pt idx="8">
                  <c:v>0.121437487243846</c:v>
                </c:pt>
                <c:pt idx="9">
                  <c:v>0.10776557799568399</c:v>
                </c:pt>
                <c:pt idx="10">
                  <c:v>9.4053513835488503E-2</c:v>
                </c:pt>
                <c:pt idx="11">
                  <c:v>8.0600633702659297E-2</c:v>
                </c:pt>
                <c:pt idx="12">
                  <c:v>6.6810076671757299E-2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6F-4F1D-AC07-75D9924E10B3}"/>
            </c:ext>
          </c:extLst>
        </c:ser>
        <c:ser>
          <c:idx val="1"/>
          <c:order val="1"/>
          <c:tx>
            <c:strRef>
              <c:f>lvt_nfet_b_VT_atVds0p9V_FBBN0to!$A$5</c:f>
              <c:strCache>
                <c:ptCount val="1"/>
                <c:pt idx="0">
                  <c:v>VT (V)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lvt_nfet_b_VT_atVds0p9V_FBBN0to!$B$3:$N$3</c:f>
              <c:numCache>
                <c:formatCode>General</c:formatCode>
                <c:ptCount val="1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0.44999999999999996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1.3499999999999999</c:v>
                </c:pt>
                <c:pt idx="10">
                  <c:v>1.4999999999999998</c:v>
                </c:pt>
                <c:pt idx="11">
                  <c:v>1.6499999999999997</c:v>
                </c:pt>
                <c:pt idx="12">
                  <c:v>1.7999999999999996</c:v>
                </c:pt>
              </c:numCache>
            </c:numRef>
          </c:cat>
          <c:val>
            <c:numRef>
              <c:f>lvt_nfet_b_VT_atVds0p9V_FBBN0to!$B$5:$N$5</c:f>
              <c:numCache>
                <c:formatCode>General</c:formatCode>
                <c:ptCount val="13"/>
                <c:pt idx="0">
                  <c:v>0.25997849881621199</c:v>
                </c:pt>
                <c:pt idx="1">
                  <c:v>0.24668715696218399</c:v>
                </c:pt>
                <c:pt idx="2">
                  <c:v>0.233548476227492</c:v>
                </c:pt>
                <c:pt idx="3">
                  <c:v>0.22056330964735699</c:v>
                </c:pt>
                <c:pt idx="4">
                  <c:v>0.20720045975736301</c:v>
                </c:pt>
                <c:pt idx="5">
                  <c:v>0.19390502165627899</c:v>
                </c:pt>
                <c:pt idx="6">
                  <c:v>0.18080068726757201</c:v>
                </c:pt>
                <c:pt idx="7">
                  <c:v>0.167388105302195</c:v>
                </c:pt>
                <c:pt idx="8">
                  <c:v>0.15401763209040401</c:v>
                </c:pt>
                <c:pt idx="9">
                  <c:v>0.14085981108982901</c:v>
                </c:pt>
                <c:pt idx="10">
                  <c:v>0.12742174298657799</c:v>
                </c:pt>
                <c:pt idx="11">
                  <c:v>0.114028505014332</c:v>
                </c:pt>
                <c:pt idx="12">
                  <c:v>0.100856918978504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9BF-49C9-B86C-F9EB8743B6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5380128"/>
        <c:axId val="382375152"/>
      </c:lineChart>
      <c:catAx>
        <c:axId val="505380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FBBN</a:t>
                </a:r>
                <a:r>
                  <a:rPr lang="en-AU" baseline="0"/>
                  <a:t> (V)</a:t>
                </a:r>
                <a:endParaRPr lang="en-A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A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2375152"/>
        <c:crosses val="autoZero"/>
        <c:auto val="1"/>
        <c:lblAlgn val="ctr"/>
        <c:lblOffset val="100"/>
        <c:noMultiLvlLbl val="0"/>
      </c:catAx>
      <c:valAx>
        <c:axId val="38237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V (T)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5380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2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lvt_nfet_b_VT_atVds0p9V_FBBN0to!$P$4</c:f>
              <c:strCache>
                <c:ptCount val="1"/>
                <c:pt idx="0">
                  <c:v>VT (V)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lvt_nfet_b_VT_atVds0p9V_FBBN0to!$Q$3:$AC$3</c:f>
              <c:numCache>
                <c:formatCode>General</c:formatCode>
                <c:ptCount val="1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0.44999999999999996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1.3499999999999999</c:v>
                </c:pt>
                <c:pt idx="10">
                  <c:v>1.4999999999999998</c:v>
                </c:pt>
                <c:pt idx="11">
                  <c:v>1.6499999999999997</c:v>
                </c:pt>
                <c:pt idx="12">
                  <c:v>1.7999999999999996</c:v>
                </c:pt>
              </c:numCache>
            </c:numRef>
          </c:cat>
          <c:val>
            <c:numRef>
              <c:f>lvt_nfet_b_VT_atVds0p9V_FBBN0to!$Q$4:$AC$4</c:f>
              <c:numCache>
                <c:formatCode>General</c:formatCode>
                <c:ptCount val="13"/>
                <c:pt idx="0">
                  <c:v>0.25997849881621199</c:v>
                </c:pt>
                <c:pt idx="1">
                  <c:v>0.24668715696218399</c:v>
                </c:pt>
                <c:pt idx="2">
                  <c:v>0.233548476227492</c:v>
                </c:pt>
                <c:pt idx="3">
                  <c:v>0.22056330964735699</c:v>
                </c:pt>
                <c:pt idx="4">
                  <c:v>0.20720045975736301</c:v>
                </c:pt>
                <c:pt idx="5">
                  <c:v>0.19390502165627899</c:v>
                </c:pt>
                <c:pt idx="6">
                  <c:v>0.18080068726757201</c:v>
                </c:pt>
                <c:pt idx="7">
                  <c:v>0.167388105302195</c:v>
                </c:pt>
                <c:pt idx="8">
                  <c:v>0.15401763209040401</c:v>
                </c:pt>
                <c:pt idx="9">
                  <c:v>0.14085981108982901</c:v>
                </c:pt>
                <c:pt idx="10">
                  <c:v>0.12742174298657799</c:v>
                </c:pt>
                <c:pt idx="11">
                  <c:v>0.114028505014332</c:v>
                </c:pt>
                <c:pt idx="12">
                  <c:v>0.100856918978504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B-4699-8401-408DE0591D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1438168"/>
        <c:axId val="581435216"/>
      </c:lineChart>
      <c:catAx>
        <c:axId val="581438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35216"/>
        <c:crosses val="autoZero"/>
        <c:auto val="1"/>
        <c:lblAlgn val="ctr"/>
        <c:lblOffset val="100"/>
        <c:noMultiLvlLbl val="0"/>
      </c:catAx>
      <c:valAx>
        <c:axId val="581435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1438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lvt_nfet_b_VT_atVds0p9V_FBBN0to!$A$30</c:f>
              <c:strCache>
                <c:ptCount val="1"/>
                <c:pt idx="0">
                  <c:v>VT (mV) at Vds=0.9V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lvt_nfet_b_VT_atVds0p9V_FBBN0to!$B$29:$N$29</c:f>
              <c:numCache>
                <c:formatCode>General</c:formatCode>
                <c:ptCount val="1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0.44999999999999996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1.3499999999999999</c:v>
                </c:pt>
                <c:pt idx="10">
                  <c:v>1.4999999999999998</c:v>
                </c:pt>
                <c:pt idx="11">
                  <c:v>1.6499999999999997</c:v>
                </c:pt>
                <c:pt idx="12">
                  <c:v>1.7999999999999996</c:v>
                </c:pt>
              </c:numCache>
            </c:numRef>
          </c:cat>
          <c:val>
            <c:numRef>
              <c:f>lvt_nfet_b_VT_atVds0p9V_FBBN0to!$B$30:$N$30</c:f>
              <c:numCache>
                <c:formatCode>0</c:formatCode>
                <c:ptCount val="13"/>
                <c:pt idx="0">
                  <c:v>229.79474102011699</c:v>
                </c:pt>
                <c:pt idx="1">
                  <c:v>216.173104478532</c:v>
                </c:pt>
                <c:pt idx="2">
                  <c:v>202.75607626537899</c:v>
                </c:pt>
                <c:pt idx="3">
                  <c:v>189.42534349417801</c:v>
                </c:pt>
                <c:pt idx="4">
                  <c:v>175.69524671808901</c:v>
                </c:pt>
                <c:pt idx="5">
                  <c:v>162.202528763884</c:v>
                </c:pt>
                <c:pt idx="6">
                  <c:v>148.68540361854099</c:v>
                </c:pt>
                <c:pt idx="7">
                  <c:v>134.93390986426601</c:v>
                </c:pt>
                <c:pt idx="8">
                  <c:v>121.43748724384599</c:v>
                </c:pt>
                <c:pt idx="9">
                  <c:v>107.765577995684</c:v>
                </c:pt>
                <c:pt idx="10">
                  <c:v>94.053513835488502</c:v>
                </c:pt>
                <c:pt idx="11">
                  <c:v>80.600633702659294</c:v>
                </c:pt>
                <c:pt idx="12">
                  <c:v>66.810076671757301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CB3-4CE1-8DBC-F2639E43E755}"/>
            </c:ext>
          </c:extLst>
        </c:ser>
        <c:ser>
          <c:idx val="1"/>
          <c:order val="1"/>
          <c:tx>
            <c:strRef>
              <c:f>lvt_nfet_b_VT_atVds0p9V_FBBN0to!$A$31</c:f>
              <c:strCache>
                <c:ptCount val="1"/>
                <c:pt idx="0">
                  <c:v>VT (mV) at Vds=0.45V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lvt_nfet_b_VT_atVds0p9V_FBBN0to!$B$29:$N$29</c:f>
              <c:numCache>
                <c:formatCode>General</c:formatCode>
                <c:ptCount val="13"/>
                <c:pt idx="0">
                  <c:v>0</c:v>
                </c:pt>
                <c:pt idx="1">
                  <c:v>0.15</c:v>
                </c:pt>
                <c:pt idx="2">
                  <c:v>0.3</c:v>
                </c:pt>
                <c:pt idx="3">
                  <c:v>0.44999999999999996</c:v>
                </c:pt>
                <c:pt idx="4">
                  <c:v>0.6</c:v>
                </c:pt>
                <c:pt idx="5">
                  <c:v>0.75</c:v>
                </c:pt>
                <c:pt idx="6">
                  <c:v>0.9</c:v>
                </c:pt>
                <c:pt idx="7">
                  <c:v>1.05</c:v>
                </c:pt>
                <c:pt idx="8">
                  <c:v>1.2</c:v>
                </c:pt>
                <c:pt idx="9">
                  <c:v>1.3499999999999999</c:v>
                </c:pt>
                <c:pt idx="10">
                  <c:v>1.4999999999999998</c:v>
                </c:pt>
                <c:pt idx="11">
                  <c:v>1.6499999999999997</c:v>
                </c:pt>
                <c:pt idx="12">
                  <c:v>1.7999999999999996</c:v>
                </c:pt>
              </c:numCache>
            </c:numRef>
          </c:cat>
          <c:val>
            <c:numRef>
              <c:f>lvt_nfet_b_VT_atVds0p9V_FBBN0to!$B$31:$N$31</c:f>
              <c:numCache>
                <c:formatCode>0</c:formatCode>
                <c:ptCount val="13"/>
                <c:pt idx="0">
                  <c:v>259.97849881621198</c:v>
                </c:pt>
                <c:pt idx="1">
                  <c:v>246.68715696218399</c:v>
                </c:pt>
                <c:pt idx="2">
                  <c:v>233.54847622749199</c:v>
                </c:pt>
                <c:pt idx="3">
                  <c:v>220.56330964735699</c:v>
                </c:pt>
                <c:pt idx="4">
                  <c:v>207.20045975736301</c:v>
                </c:pt>
                <c:pt idx="5">
                  <c:v>193.90502165627899</c:v>
                </c:pt>
                <c:pt idx="6">
                  <c:v>180.80068726757202</c:v>
                </c:pt>
                <c:pt idx="7">
                  <c:v>167.38810530219499</c:v>
                </c:pt>
                <c:pt idx="8">
                  <c:v>154.01763209040399</c:v>
                </c:pt>
                <c:pt idx="9">
                  <c:v>140.85981108982901</c:v>
                </c:pt>
                <c:pt idx="10">
                  <c:v>127.421742986578</c:v>
                </c:pt>
                <c:pt idx="11">
                  <c:v>114.028505014332</c:v>
                </c:pt>
                <c:pt idx="12">
                  <c:v>100.856918978504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CB3-4CE1-8DBC-F2639E43E7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8104272"/>
        <c:axId val="508106568"/>
      </c:lineChart>
      <c:catAx>
        <c:axId val="508104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06568"/>
        <c:crosses val="autoZero"/>
        <c:auto val="1"/>
        <c:lblAlgn val="ctr"/>
        <c:lblOffset val="100"/>
        <c:noMultiLvlLbl val="0"/>
      </c:catAx>
      <c:valAx>
        <c:axId val="508106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104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6</xdr:row>
      <xdr:rowOff>176212</xdr:rowOff>
    </xdr:from>
    <xdr:to>
      <xdr:col>9</xdr:col>
      <xdr:colOff>371475</xdr:colOff>
      <xdr:row>21</xdr:row>
      <xdr:rowOff>61912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91F5A0-BED5-4548-B80E-DD4CDEBBD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0</xdr:colOff>
      <xdr:row>7</xdr:row>
      <xdr:rowOff>23812</xdr:rowOff>
    </xdr:from>
    <xdr:to>
      <xdr:col>23</xdr:col>
      <xdr:colOff>304800</xdr:colOff>
      <xdr:row>21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490453-F84A-4555-BB88-AAA81201FB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66675</xdr:colOff>
      <xdr:row>32</xdr:row>
      <xdr:rowOff>14287</xdr:rowOff>
    </xdr:from>
    <xdr:to>
      <xdr:col>9</xdr:col>
      <xdr:colOff>371475</xdr:colOff>
      <xdr:row>46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633E70-AF48-47AD-9461-73E0E9B05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1"/>
  <sheetViews>
    <sheetView tabSelected="1" workbookViewId="0">
      <selection activeCell="L24" sqref="L24"/>
    </sheetView>
  </sheetViews>
  <sheetFormatPr defaultRowHeight="15" x14ac:dyDescent="0.25"/>
  <cols>
    <col min="1" max="1" width="20.140625" bestFit="1" customWidth="1"/>
    <col min="2" max="2" width="9.5703125" bestFit="1" customWidth="1"/>
  </cols>
  <sheetData>
    <row r="1" spans="1:29" x14ac:dyDescent="0.25">
      <c r="A1" t="s">
        <v>3</v>
      </c>
      <c r="B1" t="s">
        <v>4</v>
      </c>
      <c r="D1" t="s">
        <v>6</v>
      </c>
      <c r="E1" t="s">
        <v>7</v>
      </c>
      <c r="F1" t="s">
        <v>8</v>
      </c>
      <c r="G1" t="s">
        <v>9</v>
      </c>
      <c r="P1" t="s">
        <v>3</v>
      </c>
      <c r="Q1" t="s">
        <v>5</v>
      </c>
      <c r="S1" t="s">
        <v>6</v>
      </c>
      <c r="T1" t="s">
        <v>7</v>
      </c>
      <c r="U1" t="s">
        <v>8</v>
      </c>
      <c r="V1" t="s">
        <v>9</v>
      </c>
    </row>
    <row r="2" spans="1:29" x14ac:dyDescent="0.25">
      <c r="A2" t="s">
        <v>1</v>
      </c>
      <c r="B2" t="s">
        <v>0</v>
      </c>
      <c r="P2" t="s">
        <v>1</v>
      </c>
      <c r="Q2" t="s">
        <v>0</v>
      </c>
    </row>
    <row r="3" spans="1:29" x14ac:dyDescent="0.25">
      <c r="A3" t="s">
        <v>10</v>
      </c>
      <c r="B3">
        <v>0</v>
      </c>
      <c r="C3">
        <f>B3+0.15</f>
        <v>0.15</v>
      </c>
      <c r="D3">
        <f>C3+0.15</f>
        <v>0.3</v>
      </c>
      <c r="E3">
        <f t="shared" ref="E3:N3" si="0">D3+0.15</f>
        <v>0.44999999999999996</v>
      </c>
      <c r="F3">
        <f t="shared" si="0"/>
        <v>0.6</v>
      </c>
      <c r="G3">
        <f t="shared" si="0"/>
        <v>0.75</v>
      </c>
      <c r="H3">
        <f t="shared" si="0"/>
        <v>0.9</v>
      </c>
      <c r="I3">
        <f t="shared" si="0"/>
        <v>1.05</v>
      </c>
      <c r="J3">
        <f t="shared" si="0"/>
        <v>1.2</v>
      </c>
      <c r="K3">
        <f t="shared" si="0"/>
        <v>1.3499999999999999</v>
      </c>
      <c r="L3">
        <f t="shared" si="0"/>
        <v>1.4999999999999998</v>
      </c>
      <c r="M3">
        <f t="shared" si="0"/>
        <v>1.6499999999999997</v>
      </c>
      <c r="N3">
        <f t="shared" si="0"/>
        <v>1.7999999999999996</v>
      </c>
      <c r="P3" t="s">
        <v>10</v>
      </c>
      <c r="Q3">
        <v>0</v>
      </c>
      <c r="R3">
        <f>Q3+0.15</f>
        <v>0.15</v>
      </c>
      <c r="S3">
        <f t="shared" ref="S3:AC3" si="1">R3+0.15</f>
        <v>0.3</v>
      </c>
      <c r="T3">
        <f t="shared" si="1"/>
        <v>0.44999999999999996</v>
      </c>
      <c r="U3">
        <f t="shared" si="1"/>
        <v>0.6</v>
      </c>
      <c r="V3">
        <f t="shared" si="1"/>
        <v>0.75</v>
      </c>
      <c r="W3">
        <f t="shared" si="1"/>
        <v>0.9</v>
      </c>
      <c r="X3">
        <f t="shared" si="1"/>
        <v>1.05</v>
      </c>
      <c r="Y3">
        <f t="shared" si="1"/>
        <v>1.2</v>
      </c>
      <c r="Z3">
        <f t="shared" si="1"/>
        <v>1.3499999999999999</v>
      </c>
      <c r="AA3">
        <f t="shared" si="1"/>
        <v>1.4999999999999998</v>
      </c>
      <c r="AB3">
        <f t="shared" si="1"/>
        <v>1.6499999999999997</v>
      </c>
      <c r="AC3">
        <f t="shared" si="1"/>
        <v>1.7999999999999996</v>
      </c>
    </row>
    <row r="4" spans="1:29" x14ac:dyDescent="0.25">
      <c r="A4" t="s">
        <v>2</v>
      </c>
      <c r="B4">
        <v>0.22979474102011699</v>
      </c>
      <c r="C4">
        <v>0.216173104478532</v>
      </c>
      <c r="D4">
        <v>0.202756076265379</v>
      </c>
      <c r="E4">
        <v>0.189425343494178</v>
      </c>
      <c r="F4">
        <v>0.175695246718089</v>
      </c>
      <c r="G4">
        <v>0.162202528763884</v>
      </c>
      <c r="H4">
        <v>0.14868540361854099</v>
      </c>
      <c r="I4">
        <v>0.13493390986426601</v>
      </c>
      <c r="J4">
        <v>0.121437487243846</v>
      </c>
      <c r="K4">
        <v>0.10776557799568399</v>
      </c>
      <c r="L4">
        <v>9.4053513835488503E-2</v>
      </c>
      <c r="M4">
        <v>8.0600633702659297E-2</v>
      </c>
      <c r="N4">
        <v>6.6810076671757299E-2</v>
      </c>
      <c r="P4" t="s">
        <v>2</v>
      </c>
      <c r="Q4">
        <v>0.25997849881621199</v>
      </c>
      <c r="R4">
        <v>0.24668715696218399</v>
      </c>
      <c r="S4">
        <v>0.233548476227492</v>
      </c>
      <c r="T4">
        <v>0.22056330964735699</v>
      </c>
      <c r="U4">
        <v>0.20720045975736301</v>
      </c>
      <c r="V4">
        <v>0.19390502165627899</v>
      </c>
      <c r="W4">
        <v>0.18080068726757201</v>
      </c>
      <c r="X4">
        <v>0.167388105302195</v>
      </c>
      <c r="Y4">
        <v>0.15401763209040401</v>
      </c>
      <c r="Z4">
        <v>0.14085981108982901</v>
      </c>
      <c r="AA4">
        <v>0.12742174298657799</v>
      </c>
      <c r="AB4">
        <v>0.114028505014332</v>
      </c>
      <c r="AC4">
        <v>0.100856918978504</v>
      </c>
    </row>
    <row r="5" spans="1:29" x14ac:dyDescent="0.25">
      <c r="A5" t="s">
        <v>2</v>
      </c>
      <c r="B5">
        <v>0.25997849881621199</v>
      </c>
      <c r="C5">
        <v>0.24668715696218399</v>
      </c>
      <c r="D5">
        <v>0.233548476227492</v>
      </c>
      <c r="E5">
        <v>0.22056330964735699</v>
      </c>
      <c r="F5">
        <v>0.20720045975736301</v>
      </c>
      <c r="G5">
        <v>0.19390502165627899</v>
      </c>
      <c r="H5">
        <v>0.18080068726757201</v>
      </c>
      <c r="I5">
        <v>0.167388105302195</v>
      </c>
      <c r="J5">
        <v>0.15401763209040401</v>
      </c>
      <c r="K5">
        <v>0.14085981108982901</v>
      </c>
      <c r="L5">
        <v>0.12742174298657799</v>
      </c>
      <c r="M5">
        <v>0.114028505014332</v>
      </c>
      <c r="N5">
        <v>0.100856918978504</v>
      </c>
    </row>
    <row r="28" spans="1:14" x14ac:dyDescent="0.25">
      <c r="A28" t="s">
        <v>1</v>
      </c>
      <c r="B28" t="s">
        <v>0</v>
      </c>
      <c r="D28" t="s">
        <v>6</v>
      </c>
      <c r="E28" t="s">
        <v>7</v>
      </c>
      <c r="H28" t="s">
        <v>8</v>
      </c>
      <c r="I28" t="s">
        <v>9</v>
      </c>
    </row>
    <row r="29" spans="1:14" x14ac:dyDescent="0.25">
      <c r="A29" t="s">
        <v>10</v>
      </c>
      <c r="B29">
        <v>0</v>
      </c>
      <c r="C29">
        <f>B29+0.15</f>
        <v>0.15</v>
      </c>
      <c r="D29">
        <f>C29+0.15</f>
        <v>0.3</v>
      </c>
      <c r="E29">
        <f t="shared" ref="E29" si="2">D29+0.15</f>
        <v>0.44999999999999996</v>
      </c>
      <c r="F29">
        <f t="shared" ref="F29" si="3">E29+0.15</f>
        <v>0.6</v>
      </c>
      <c r="G29">
        <f t="shared" ref="G29" si="4">F29+0.15</f>
        <v>0.75</v>
      </c>
      <c r="H29">
        <f t="shared" ref="H29" si="5">G29+0.15</f>
        <v>0.9</v>
      </c>
      <c r="I29">
        <f t="shared" ref="I29" si="6">H29+0.15</f>
        <v>1.05</v>
      </c>
      <c r="J29">
        <f t="shared" ref="J29" si="7">I29+0.15</f>
        <v>1.2</v>
      </c>
      <c r="K29">
        <f t="shared" ref="K29" si="8">J29+0.15</f>
        <v>1.3499999999999999</v>
      </c>
      <c r="L29">
        <f t="shared" ref="L29" si="9">K29+0.15</f>
        <v>1.4999999999999998</v>
      </c>
      <c r="M29">
        <f t="shared" ref="M29" si="10">L29+0.15</f>
        <v>1.6499999999999997</v>
      </c>
      <c r="N29">
        <f t="shared" ref="N29" si="11">M29+0.15</f>
        <v>1.7999999999999996</v>
      </c>
    </row>
    <row r="30" spans="1:14" x14ac:dyDescent="0.25">
      <c r="A30" t="s">
        <v>12</v>
      </c>
      <c r="B30" s="1">
        <f>B4*1000</f>
        <v>229.79474102011699</v>
      </c>
      <c r="C30" s="1">
        <f t="shared" ref="C30:N31" si="12">C4*1000</f>
        <v>216.173104478532</v>
      </c>
      <c r="D30" s="1">
        <f t="shared" si="12"/>
        <v>202.75607626537899</v>
      </c>
      <c r="E30" s="1">
        <f t="shared" si="12"/>
        <v>189.42534349417801</v>
      </c>
      <c r="F30" s="1">
        <f t="shared" si="12"/>
        <v>175.69524671808901</v>
      </c>
      <c r="G30" s="1">
        <f t="shared" si="12"/>
        <v>162.202528763884</v>
      </c>
      <c r="H30" s="1">
        <f t="shared" si="12"/>
        <v>148.68540361854099</v>
      </c>
      <c r="I30" s="1">
        <f t="shared" si="12"/>
        <v>134.93390986426601</v>
      </c>
      <c r="J30" s="1">
        <f t="shared" si="12"/>
        <v>121.43748724384599</v>
      </c>
      <c r="K30" s="1">
        <f t="shared" si="12"/>
        <v>107.765577995684</v>
      </c>
      <c r="L30" s="1">
        <f t="shared" si="12"/>
        <v>94.053513835488502</v>
      </c>
      <c r="M30" s="1">
        <f t="shared" si="12"/>
        <v>80.600633702659294</v>
      </c>
      <c r="N30" s="1">
        <f t="shared" si="12"/>
        <v>66.810076671757301</v>
      </c>
    </row>
    <row r="31" spans="1:14" x14ac:dyDescent="0.25">
      <c r="A31" t="s">
        <v>11</v>
      </c>
      <c r="B31" s="1">
        <f>B5*1000</f>
        <v>259.97849881621198</v>
      </c>
      <c r="C31" s="1">
        <f t="shared" si="12"/>
        <v>246.68715696218399</v>
      </c>
      <c r="D31" s="1">
        <f t="shared" si="12"/>
        <v>233.54847622749199</v>
      </c>
      <c r="E31" s="1">
        <f t="shared" si="12"/>
        <v>220.56330964735699</v>
      </c>
      <c r="F31" s="1">
        <f t="shared" si="12"/>
        <v>207.20045975736301</v>
      </c>
      <c r="G31" s="1">
        <f t="shared" si="12"/>
        <v>193.90502165627899</v>
      </c>
      <c r="H31" s="1">
        <f t="shared" si="12"/>
        <v>180.80068726757202</v>
      </c>
      <c r="I31" s="1">
        <f t="shared" si="12"/>
        <v>167.38810530219499</v>
      </c>
      <c r="J31" s="1">
        <f t="shared" si="12"/>
        <v>154.01763209040399</v>
      </c>
      <c r="K31" s="1">
        <f t="shared" si="12"/>
        <v>140.85981108982901</v>
      </c>
      <c r="L31" s="1">
        <f t="shared" si="12"/>
        <v>127.421742986578</v>
      </c>
      <c r="M31" s="1">
        <f t="shared" si="12"/>
        <v>114.028505014332</v>
      </c>
      <c r="N31" s="1">
        <f t="shared" si="12"/>
        <v>100.856918978504</v>
      </c>
    </row>
  </sheetData>
  <pageMargins left="0.7" right="0.7" top="0.75" bottom="0.75" header="0.3" footer="0.3"/>
  <headerFooter>
    <oddHeader>&amp;C&amp;"Calibri"&amp;12&amp;KEEDC00 RMIT Classification: Trusted&amp;1#_x000D_</oddHeader>
  </headerFooter>
  <drawing r:id="rId1"/>
</worksheet>
</file>

<file path=docMetadata/LabelInfo.xml><?xml version="1.0" encoding="utf-8"?>
<clbl:labelList xmlns:clbl="http://schemas.microsoft.com/office/2020/mipLabelMetadata">
  <clbl:label id="{8c3d088b-6243-4963-a2e2-8b321ab7f8fc}" enabled="1" method="Privileged" siteId="{d1323671-cdbe-4417-b4d4-bdb24b5131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lvt_nfet_b_VT_atVds0p9V_FBBN0to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Huy Nguyen</cp:lastModifiedBy>
  <dcterms:created xsi:type="dcterms:W3CDTF">2021-12-31T03:31:58Z</dcterms:created>
  <dcterms:modified xsi:type="dcterms:W3CDTF">2026-02-06T06:38:24Z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3d088b-6243-4963-a2e2-8b321ab7f8fc_Enabled">
    <vt:lpwstr>true</vt:lpwstr>
  </property>
  <property fmtid="{D5CDD505-2E9C-101B-9397-08002B2CF9AE}" pid="3" name="MSIP_Label_8c3d088b-6243-4963-a2e2-8b321ab7f8fc_SetDate">
    <vt:lpwstr>2022-02-03T02:43:22Z</vt:lpwstr>
  </property>
  <property fmtid="{D5CDD505-2E9C-101B-9397-08002B2CF9AE}" pid="4" name="MSIP_Label_8c3d088b-6243-4963-a2e2-8b321ab7f8fc_Method">
    <vt:lpwstr>Privileged</vt:lpwstr>
  </property>
  <property fmtid="{D5CDD505-2E9C-101B-9397-08002B2CF9AE}" pid="5" name="MSIP_Label_8c3d088b-6243-4963-a2e2-8b321ab7f8fc_Name">
    <vt:lpwstr>Trusted</vt:lpwstr>
  </property>
  <property fmtid="{D5CDD505-2E9C-101B-9397-08002B2CF9AE}" pid="6" name="MSIP_Label_8c3d088b-6243-4963-a2e2-8b321ab7f8fc_SiteId">
    <vt:lpwstr>d1323671-cdbe-4417-b4d4-bdb24b51316b</vt:lpwstr>
  </property>
  <property fmtid="{D5CDD505-2E9C-101B-9397-08002B2CF9AE}" pid="7" name="MSIP_Label_8c3d088b-6243-4963-a2e2-8b321ab7f8fc_ActionId">
    <vt:lpwstr>a19dd546-09dc-4094-b109-4fd49b6ba0a7</vt:lpwstr>
  </property>
  <property fmtid="{D5CDD505-2E9C-101B-9397-08002B2CF9AE}" pid="8" name="MSIP_Label_8c3d088b-6243-4963-a2e2-8b321ab7f8fc_ContentBits">
    <vt:lpwstr>1</vt:lpwstr>
  </property>
</Properties>
</file>