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rmiteduau-my.sharepoint.com/personal/huy_nguyenle_rmit_edu_vn/Documents/Research/My PhD/PhD_Thesis/Reports/HUY_HPC2_FILES/MOSFETs/lvt_nfet_b/FInal Data/"/>
    </mc:Choice>
  </mc:AlternateContent>
  <xr:revisionPtr revIDLastSave="1" documentId="13_ncr:1_{B54EA8BE-7A2B-404B-A234-FD954C514A24}" xr6:coauthVersionLast="47" xr6:coauthVersionMax="47" xr10:uidLastSave="{FCD4D961-1FCB-406C-8F5B-18B31098C0FE}"/>
  <bookViews>
    <workbookView xWindow="-28920" yWindow="-120" windowWidth="29040" windowHeight="15720" xr2:uid="{00000000-000D-0000-FFFF-FFFF00000000}"/>
  </bookViews>
  <sheets>
    <sheet name="lvt_nfet_b_Idssat_vs_FBBN_and_W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4" i="1" l="1"/>
  <c r="C24" i="1"/>
  <c r="D24" i="1"/>
  <c r="E24" i="1"/>
  <c r="F24" i="1"/>
  <c r="G24" i="1"/>
  <c r="H24" i="1"/>
  <c r="I24" i="1"/>
  <c r="J24" i="1"/>
  <c r="K24" i="1"/>
  <c r="B28" i="1"/>
  <c r="C28" i="1"/>
  <c r="D28" i="1"/>
  <c r="E28" i="1"/>
  <c r="F28" i="1"/>
  <c r="G28" i="1"/>
  <c r="H28" i="1"/>
  <c r="I28" i="1"/>
  <c r="J28" i="1"/>
  <c r="K28" i="1"/>
  <c r="B29" i="1"/>
  <c r="C29" i="1"/>
  <c r="D29" i="1"/>
  <c r="E29" i="1"/>
  <c r="F29" i="1"/>
  <c r="G29" i="1"/>
  <c r="H29" i="1"/>
  <c r="I29" i="1"/>
  <c r="J29" i="1"/>
  <c r="K29" i="1"/>
  <c r="B30" i="1"/>
  <c r="C30" i="1"/>
  <c r="D30" i="1"/>
  <c r="E30" i="1"/>
  <c r="F30" i="1"/>
  <c r="G30" i="1"/>
  <c r="H30" i="1"/>
  <c r="I30" i="1"/>
  <c r="J30" i="1"/>
  <c r="K30" i="1"/>
  <c r="C27" i="1"/>
  <c r="D27" i="1"/>
  <c r="E27" i="1"/>
  <c r="F27" i="1"/>
  <c r="G27" i="1"/>
  <c r="H27" i="1"/>
  <c r="I27" i="1"/>
  <c r="J27" i="1"/>
  <c r="K27" i="1"/>
  <c r="B27" i="1"/>
  <c r="B22" i="1"/>
  <c r="C22" i="1"/>
  <c r="D22" i="1"/>
  <c r="E22" i="1"/>
  <c r="F22" i="1"/>
  <c r="G22" i="1"/>
  <c r="H22" i="1"/>
  <c r="I22" i="1"/>
  <c r="J22" i="1"/>
  <c r="K22" i="1"/>
  <c r="B23" i="1"/>
  <c r="C23" i="1"/>
  <c r="D23" i="1"/>
  <c r="E23" i="1"/>
  <c r="F23" i="1"/>
  <c r="G23" i="1"/>
  <c r="H23" i="1"/>
  <c r="I23" i="1"/>
  <c r="J23" i="1"/>
  <c r="K23" i="1"/>
  <c r="C21" i="1"/>
  <c r="D21" i="1"/>
  <c r="E21" i="1"/>
  <c r="F21" i="1"/>
  <c r="G21" i="1"/>
  <c r="H21" i="1"/>
  <c r="I21" i="1"/>
  <c r="J21" i="1"/>
  <c r="K21" i="1"/>
  <c r="B21" i="1"/>
</calcChain>
</file>

<file path=xl/sharedStrings.xml><?xml version="1.0" encoding="utf-8"?>
<sst xmlns="http://schemas.openxmlformats.org/spreadsheetml/2006/main" count="25" uniqueCount="13">
  <si>
    <t xml:space="preserve">V_FBBN </t>
  </si>
  <si>
    <t>/N0/d nw 8e-08  (A)</t>
  </si>
  <si>
    <t>/N0/d nw 1.6e-07  (A)</t>
  </si>
  <si>
    <t>/N0/d nw 2.4e-07  (A)</t>
  </si>
  <si>
    <t>/N0/d nw 3.2e-07  (A)</t>
  </si>
  <si>
    <t>Vds = 0.9V</t>
  </si>
  <si>
    <t>Vds=0.45V</t>
  </si>
  <si>
    <t>W=80n</t>
  </si>
  <si>
    <t>W=160n</t>
  </si>
  <si>
    <t>W=240n</t>
  </si>
  <si>
    <t>W=320n</t>
  </si>
  <si>
    <t>Idsat versus Forward Body Bias and Width</t>
  </si>
  <si>
    <t>Vds=0.9V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</si>
</sst>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1" fontId="0" fillId="0" borderId="0" xfId="0" applyNumberFormat="1"/>
    <xf numFmtId="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AU"/>
              <a:t>Idsat vs. FBBN</a:t>
            </a:r>
            <a:r>
              <a:rPr lang="en-AU" baseline="0"/>
              <a:t> and Width (@Vds=0.9V, L=30n)</a:t>
            </a:r>
            <a:endParaRPr lang="en-A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A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lvt_nfet_b_Idssat_vs_FBBN_and_W!$A$21</c:f>
              <c:strCache>
                <c:ptCount val="1"/>
                <c:pt idx="0">
                  <c:v>W=80n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lvt_nfet_b_Idssat_vs_FBBN_and_W!$B$20:$K$20</c:f>
              <c:numCache>
                <c:formatCode>General</c:formatCode>
                <c:ptCount val="10"/>
                <c:pt idx="0">
                  <c:v>0</c:v>
                </c:pt>
                <c:pt idx="1">
                  <c:v>0.15</c:v>
                </c:pt>
                <c:pt idx="2">
                  <c:v>0.3</c:v>
                </c:pt>
                <c:pt idx="3">
                  <c:v>0.45</c:v>
                </c:pt>
                <c:pt idx="4">
                  <c:v>0.6</c:v>
                </c:pt>
                <c:pt idx="5">
                  <c:v>0.75</c:v>
                </c:pt>
                <c:pt idx="6">
                  <c:v>0.9</c:v>
                </c:pt>
                <c:pt idx="7">
                  <c:v>1.2</c:v>
                </c:pt>
                <c:pt idx="8">
                  <c:v>1.5</c:v>
                </c:pt>
                <c:pt idx="9">
                  <c:v>1.8</c:v>
                </c:pt>
              </c:numCache>
            </c:numRef>
          </c:cat>
          <c:val>
            <c:numRef>
              <c:f>lvt_nfet_b_Idssat_vs_FBBN_and_W!$B$21:$K$21</c:f>
              <c:numCache>
                <c:formatCode>0.00</c:formatCode>
                <c:ptCount val="10"/>
                <c:pt idx="0">
                  <c:v>66.09</c:v>
                </c:pt>
                <c:pt idx="1">
                  <c:v>67.589999999999989</c:v>
                </c:pt>
                <c:pt idx="2">
                  <c:v>69.09</c:v>
                </c:pt>
                <c:pt idx="3">
                  <c:v>70.599999999999994</c:v>
                </c:pt>
                <c:pt idx="4">
                  <c:v>72.13</c:v>
                </c:pt>
                <c:pt idx="5">
                  <c:v>73.67</c:v>
                </c:pt>
                <c:pt idx="6">
                  <c:v>75.22</c:v>
                </c:pt>
                <c:pt idx="7">
                  <c:v>78.36</c:v>
                </c:pt>
                <c:pt idx="8">
                  <c:v>81.539999999999992</c:v>
                </c:pt>
                <c:pt idx="9">
                  <c:v>84.759999999999991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98D-44D7-AEC9-CF7FB4B70E4C}"/>
            </c:ext>
          </c:extLst>
        </c:ser>
        <c:ser>
          <c:idx val="1"/>
          <c:order val="1"/>
          <c:tx>
            <c:strRef>
              <c:f>lvt_nfet_b_Idssat_vs_FBBN_and_W!$A$22</c:f>
              <c:strCache>
                <c:ptCount val="1"/>
                <c:pt idx="0">
                  <c:v>W=160n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lvt_nfet_b_Idssat_vs_FBBN_and_W!$B$20:$K$20</c:f>
              <c:numCache>
                <c:formatCode>General</c:formatCode>
                <c:ptCount val="10"/>
                <c:pt idx="0">
                  <c:v>0</c:v>
                </c:pt>
                <c:pt idx="1">
                  <c:v>0.15</c:v>
                </c:pt>
                <c:pt idx="2">
                  <c:v>0.3</c:v>
                </c:pt>
                <c:pt idx="3">
                  <c:v>0.45</c:v>
                </c:pt>
                <c:pt idx="4">
                  <c:v>0.6</c:v>
                </c:pt>
                <c:pt idx="5">
                  <c:v>0.75</c:v>
                </c:pt>
                <c:pt idx="6">
                  <c:v>0.9</c:v>
                </c:pt>
                <c:pt idx="7">
                  <c:v>1.2</c:v>
                </c:pt>
                <c:pt idx="8">
                  <c:v>1.5</c:v>
                </c:pt>
                <c:pt idx="9">
                  <c:v>1.8</c:v>
                </c:pt>
              </c:numCache>
            </c:numRef>
          </c:cat>
          <c:val>
            <c:numRef>
              <c:f>lvt_nfet_b_Idssat_vs_FBBN_and_W!$B$22:$K$22</c:f>
              <c:numCache>
                <c:formatCode>0.00</c:formatCode>
                <c:ptCount val="10"/>
                <c:pt idx="0">
                  <c:v>120.3</c:v>
                </c:pt>
                <c:pt idx="1">
                  <c:v>123.10000000000001</c:v>
                </c:pt>
                <c:pt idx="2">
                  <c:v>125.89999999999999</c:v>
                </c:pt>
                <c:pt idx="3">
                  <c:v>128.70000000000002</c:v>
                </c:pt>
                <c:pt idx="4">
                  <c:v>131.5</c:v>
                </c:pt>
                <c:pt idx="5">
                  <c:v>134.30000000000001</c:v>
                </c:pt>
                <c:pt idx="6">
                  <c:v>137.1</c:v>
                </c:pt>
                <c:pt idx="7">
                  <c:v>142.9</c:v>
                </c:pt>
                <c:pt idx="8">
                  <c:v>148.70000000000002</c:v>
                </c:pt>
                <c:pt idx="9">
                  <c:v>154.5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98D-44D7-AEC9-CF7FB4B70E4C}"/>
            </c:ext>
          </c:extLst>
        </c:ser>
        <c:ser>
          <c:idx val="2"/>
          <c:order val="2"/>
          <c:tx>
            <c:strRef>
              <c:f>lvt_nfet_b_Idssat_vs_FBBN_and_W!$A$23</c:f>
              <c:strCache>
                <c:ptCount val="1"/>
                <c:pt idx="0">
                  <c:v>W=240n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lvt_nfet_b_Idssat_vs_FBBN_and_W!$B$20:$K$20</c:f>
              <c:numCache>
                <c:formatCode>General</c:formatCode>
                <c:ptCount val="10"/>
                <c:pt idx="0">
                  <c:v>0</c:v>
                </c:pt>
                <c:pt idx="1">
                  <c:v>0.15</c:v>
                </c:pt>
                <c:pt idx="2">
                  <c:v>0.3</c:v>
                </c:pt>
                <c:pt idx="3">
                  <c:v>0.45</c:v>
                </c:pt>
                <c:pt idx="4">
                  <c:v>0.6</c:v>
                </c:pt>
                <c:pt idx="5">
                  <c:v>0.75</c:v>
                </c:pt>
                <c:pt idx="6">
                  <c:v>0.9</c:v>
                </c:pt>
                <c:pt idx="7">
                  <c:v>1.2</c:v>
                </c:pt>
                <c:pt idx="8">
                  <c:v>1.5</c:v>
                </c:pt>
                <c:pt idx="9">
                  <c:v>1.8</c:v>
                </c:pt>
              </c:numCache>
            </c:numRef>
          </c:cat>
          <c:val>
            <c:numRef>
              <c:f>lvt_nfet_b_Idssat_vs_FBBN_and_W!$B$23:$K$23</c:f>
              <c:numCache>
                <c:formatCode>0.00</c:formatCode>
                <c:ptCount val="10"/>
                <c:pt idx="0">
                  <c:v>176.4</c:v>
                </c:pt>
                <c:pt idx="1">
                  <c:v>180.4</c:v>
                </c:pt>
                <c:pt idx="2">
                  <c:v>184.5</c:v>
                </c:pt>
                <c:pt idx="3">
                  <c:v>188.5</c:v>
                </c:pt>
                <c:pt idx="4">
                  <c:v>192.6</c:v>
                </c:pt>
                <c:pt idx="5">
                  <c:v>196.70000000000002</c:v>
                </c:pt>
                <c:pt idx="6">
                  <c:v>200.8</c:v>
                </c:pt>
                <c:pt idx="7">
                  <c:v>209.1</c:v>
                </c:pt>
                <c:pt idx="8">
                  <c:v>217.5</c:v>
                </c:pt>
                <c:pt idx="9">
                  <c:v>226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98D-44D7-AEC9-CF7FB4B70E4C}"/>
            </c:ext>
          </c:extLst>
        </c:ser>
        <c:ser>
          <c:idx val="3"/>
          <c:order val="3"/>
          <c:tx>
            <c:strRef>
              <c:f>lvt_nfet_b_Idssat_vs_FBBN_and_W!$A$24</c:f>
              <c:strCache>
                <c:ptCount val="1"/>
                <c:pt idx="0">
                  <c:v>W=320n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lvt_nfet_b_Idssat_vs_FBBN_and_W!$B$20:$K$20</c:f>
              <c:numCache>
                <c:formatCode>General</c:formatCode>
                <c:ptCount val="10"/>
                <c:pt idx="0">
                  <c:v>0</c:v>
                </c:pt>
                <c:pt idx="1">
                  <c:v>0.15</c:v>
                </c:pt>
                <c:pt idx="2">
                  <c:v>0.3</c:v>
                </c:pt>
                <c:pt idx="3">
                  <c:v>0.45</c:v>
                </c:pt>
                <c:pt idx="4">
                  <c:v>0.6</c:v>
                </c:pt>
                <c:pt idx="5">
                  <c:v>0.75</c:v>
                </c:pt>
                <c:pt idx="6">
                  <c:v>0.9</c:v>
                </c:pt>
                <c:pt idx="7">
                  <c:v>1.2</c:v>
                </c:pt>
                <c:pt idx="8">
                  <c:v>1.5</c:v>
                </c:pt>
                <c:pt idx="9">
                  <c:v>1.8</c:v>
                </c:pt>
              </c:numCache>
            </c:numRef>
          </c:cat>
          <c:val>
            <c:numRef>
              <c:f>lvt_nfet_b_Idssat_vs_FBBN_and_W!$B$24:$K$24</c:f>
              <c:numCache>
                <c:formatCode>0.00</c:formatCode>
                <c:ptCount val="10"/>
                <c:pt idx="0">
                  <c:v>235.3</c:v>
                </c:pt>
                <c:pt idx="1">
                  <c:v>240.6</c:v>
                </c:pt>
                <c:pt idx="2">
                  <c:v>245.9</c:v>
                </c:pt>
                <c:pt idx="3">
                  <c:v>251.29999999999998</c:v>
                </c:pt>
                <c:pt idx="4">
                  <c:v>256.60000000000002</c:v>
                </c:pt>
                <c:pt idx="5">
                  <c:v>262</c:v>
                </c:pt>
                <c:pt idx="6">
                  <c:v>267.39999999999998</c:v>
                </c:pt>
                <c:pt idx="7">
                  <c:v>278.3</c:v>
                </c:pt>
                <c:pt idx="8">
                  <c:v>289.39999999999998</c:v>
                </c:pt>
                <c:pt idx="9">
                  <c:v>300.5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98D-44D7-AEC9-CF7FB4B70E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75342312"/>
        <c:axId val="675341000"/>
      </c:lineChart>
      <c:catAx>
        <c:axId val="67534231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/>
                  <a:t>FBBN (V)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5341000"/>
        <c:crosses val="autoZero"/>
        <c:auto val="1"/>
        <c:lblAlgn val="ctr"/>
        <c:lblOffset val="100"/>
        <c:noMultiLvlLbl val="0"/>
      </c:catAx>
      <c:valAx>
        <c:axId val="6753410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/>
                  <a:t>Idsat (uA)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53423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AU" sz="1400" b="0" i="0" baseline="0">
                <a:effectLst/>
              </a:rPr>
              <a:t>Idsat vs. FBBN and Width (@Vds=0.45V, L=30n)</a:t>
            </a:r>
            <a:endParaRPr lang="en-AU" sz="1400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A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lvt_nfet_b_Idssat_vs_FBBN_and_W!$A$27</c:f>
              <c:strCache>
                <c:ptCount val="1"/>
                <c:pt idx="0">
                  <c:v>W=80n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lvt_nfet_b_Idssat_vs_FBBN_and_W!$B$26:$K$26</c:f>
              <c:numCache>
                <c:formatCode>General</c:formatCode>
                <c:ptCount val="10"/>
                <c:pt idx="0">
                  <c:v>0</c:v>
                </c:pt>
                <c:pt idx="1">
                  <c:v>0.15</c:v>
                </c:pt>
                <c:pt idx="2">
                  <c:v>0.3</c:v>
                </c:pt>
                <c:pt idx="3">
                  <c:v>0.45</c:v>
                </c:pt>
                <c:pt idx="4">
                  <c:v>0.6</c:v>
                </c:pt>
                <c:pt idx="5">
                  <c:v>0.75</c:v>
                </c:pt>
                <c:pt idx="6">
                  <c:v>0.9</c:v>
                </c:pt>
                <c:pt idx="7">
                  <c:v>1.2</c:v>
                </c:pt>
                <c:pt idx="8">
                  <c:v>1.5</c:v>
                </c:pt>
                <c:pt idx="9">
                  <c:v>1.8</c:v>
                </c:pt>
              </c:numCache>
            </c:numRef>
          </c:cat>
          <c:val>
            <c:numRef>
              <c:f>lvt_nfet_b_Idssat_vs_FBBN_and_W!$B$27:$K$27</c:f>
              <c:numCache>
                <c:formatCode>0.00</c:formatCode>
                <c:ptCount val="10"/>
                <c:pt idx="0">
                  <c:v>7.6</c:v>
                </c:pt>
                <c:pt idx="1">
                  <c:v>8.7460000000000004</c:v>
                </c:pt>
                <c:pt idx="2">
                  <c:v>9.9760000000000009</c:v>
                </c:pt>
                <c:pt idx="3">
                  <c:v>11.280000000000001</c:v>
                </c:pt>
                <c:pt idx="4">
                  <c:v>12.66</c:v>
                </c:pt>
                <c:pt idx="5">
                  <c:v>14.09</c:v>
                </c:pt>
                <c:pt idx="6">
                  <c:v>15.58</c:v>
                </c:pt>
                <c:pt idx="7">
                  <c:v>18.68</c:v>
                </c:pt>
                <c:pt idx="8">
                  <c:v>21.900000000000002</c:v>
                </c:pt>
                <c:pt idx="9">
                  <c:v>25.19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79A-45DF-AEE4-AA8AD73FCE3B}"/>
            </c:ext>
          </c:extLst>
        </c:ser>
        <c:ser>
          <c:idx val="1"/>
          <c:order val="1"/>
          <c:tx>
            <c:strRef>
              <c:f>lvt_nfet_b_Idssat_vs_FBBN_and_W!$A$28</c:f>
              <c:strCache>
                <c:ptCount val="1"/>
                <c:pt idx="0">
                  <c:v>W=160n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lvt_nfet_b_Idssat_vs_FBBN_and_W!$B$26:$K$26</c:f>
              <c:numCache>
                <c:formatCode>General</c:formatCode>
                <c:ptCount val="10"/>
                <c:pt idx="0">
                  <c:v>0</c:v>
                </c:pt>
                <c:pt idx="1">
                  <c:v>0.15</c:v>
                </c:pt>
                <c:pt idx="2">
                  <c:v>0.3</c:v>
                </c:pt>
                <c:pt idx="3">
                  <c:v>0.45</c:v>
                </c:pt>
                <c:pt idx="4">
                  <c:v>0.6</c:v>
                </c:pt>
                <c:pt idx="5">
                  <c:v>0.75</c:v>
                </c:pt>
                <c:pt idx="6">
                  <c:v>0.9</c:v>
                </c:pt>
                <c:pt idx="7">
                  <c:v>1.2</c:v>
                </c:pt>
                <c:pt idx="8">
                  <c:v>1.5</c:v>
                </c:pt>
                <c:pt idx="9">
                  <c:v>1.8</c:v>
                </c:pt>
              </c:numCache>
            </c:numRef>
          </c:cat>
          <c:val>
            <c:numRef>
              <c:f>lvt_nfet_b_Idssat_vs_FBBN_and_W!$B$28:$K$28</c:f>
              <c:numCache>
                <c:formatCode>0.00</c:formatCode>
                <c:ptCount val="10"/>
                <c:pt idx="0">
                  <c:v>12.57</c:v>
                </c:pt>
                <c:pt idx="1">
                  <c:v>14.47</c:v>
                </c:pt>
                <c:pt idx="2">
                  <c:v>16.509999999999998</c:v>
                </c:pt>
                <c:pt idx="3">
                  <c:v>18.68</c:v>
                </c:pt>
                <c:pt idx="4">
                  <c:v>20.970000000000002</c:v>
                </c:pt>
                <c:pt idx="5">
                  <c:v>23.36</c:v>
                </c:pt>
                <c:pt idx="6">
                  <c:v>25.85</c:v>
                </c:pt>
                <c:pt idx="7">
                  <c:v>31.050000000000004</c:v>
                </c:pt>
                <c:pt idx="8">
                  <c:v>36.480000000000004</c:v>
                </c:pt>
                <c:pt idx="9">
                  <c:v>42.06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79A-45DF-AEE4-AA8AD73FCE3B}"/>
            </c:ext>
          </c:extLst>
        </c:ser>
        <c:ser>
          <c:idx val="2"/>
          <c:order val="2"/>
          <c:tx>
            <c:strRef>
              <c:f>lvt_nfet_b_Idssat_vs_FBBN_and_W!$A$29</c:f>
              <c:strCache>
                <c:ptCount val="1"/>
                <c:pt idx="0">
                  <c:v>W=240n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lvt_nfet_b_Idssat_vs_FBBN_and_W!$B$26:$K$26</c:f>
              <c:numCache>
                <c:formatCode>General</c:formatCode>
                <c:ptCount val="10"/>
                <c:pt idx="0">
                  <c:v>0</c:v>
                </c:pt>
                <c:pt idx="1">
                  <c:v>0.15</c:v>
                </c:pt>
                <c:pt idx="2">
                  <c:v>0.3</c:v>
                </c:pt>
                <c:pt idx="3">
                  <c:v>0.45</c:v>
                </c:pt>
                <c:pt idx="4">
                  <c:v>0.6</c:v>
                </c:pt>
                <c:pt idx="5">
                  <c:v>0.75</c:v>
                </c:pt>
                <c:pt idx="6">
                  <c:v>0.9</c:v>
                </c:pt>
                <c:pt idx="7">
                  <c:v>1.2</c:v>
                </c:pt>
                <c:pt idx="8">
                  <c:v>1.5</c:v>
                </c:pt>
                <c:pt idx="9">
                  <c:v>1.8</c:v>
                </c:pt>
              </c:numCache>
            </c:numRef>
          </c:cat>
          <c:val>
            <c:numRef>
              <c:f>lvt_nfet_b_Idssat_vs_FBBN_and_W!$B$29:$K$29</c:f>
              <c:numCache>
                <c:formatCode>0.00</c:formatCode>
                <c:ptCount val="10"/>
                <c:pt idx="0">
                  <c:v>18.05</c:v>
                </c:pt>
                <c:pt idx="1">
                  <c:v>20.740000000000002</c:v>
                </c:pt>
                <c:pt idx="2">
                  <c:v>23.64</c:v>
                </c:pt>
                <c:pt idx="3">
                  <c:v>26.71</c:v>
                </c:pt>
                <c:pt idx="4">
                  <c:v>29.96</c:v>
                </c:pt>
                <c:pt idx="5">
                  <c:v>33.349999999999994</c:v>
                </c:pt>
                <c:pt idx="6">
                  <c:v>36.869999999999997</c:v>
                </c:pt>
                <c:pt idx="7">
                  <c:v>44.24</c:v>
                </c:pt>
                <c:pt idx="8">
                  <c:v>51.94</c:v>
                </c:pt>
                <c:pt idx="9">
                  <c:v>59.870000000000005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79A-45DF-AEE4-AA8AD73FCE3B}"/>
            </c:ext>
          </c:extLst>
        </c:ser>
        <c:ser>
          <c:idx val="3"/>
          <c:order val="3"/>
          <c:tx>
            <c:strRef>
              <c:f>lvt_nfet_b_Idssat_vs_FBBN_and_W!$A$30</c:f>
              <c:strCache>
                <c:ptCount val="1"/>
                <c:pt idx="0">
                  <c:v>W=320n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lvt_nfet_b_Idssat_vs_FBBN_and_W!$B$26:$K$26</c:f>
              <c:numCache>
                <c:formatCode>General</c:formatCode>
                <c:ptCount val="10"/>
                <c:pt idx="0">
                  <c:v>0</c:v>
                </c:pt>
                <c:pt idx="1">
                  <c:v>0.15</c:v>
                </c:pt>
                <c:pt idx="2">
                  <c:v>0.3</c:v>
                </c:pt>
                <c:pt idx="3">
                  <c:v>0.45</c:v>
                </c:pt>
                <c:pt idx="4">
                  <c:v>0.6</c:v>
                </c:pt>
                <c:pt idx="5">
                  <c:v>0.75</c:v>
                </c:pt>
                <c:pt idx="6">
                  <c:v>0.9</c:v>
                </c:pt>
                <c:pt idx="7">
                  <c:v>1.2</c:v>
                </c:pt>
                <c:pt idx="8">
                  <c:v>1.5</c:v>
                </c:pt>
                <c:pt idx="9">
                  <c:v>1.8</c:v>
                </c:pt>
              </c:numCache>
            </c:numRef>
          </c:cat>
          <c:val>
            <c:numRef>
              <c:f>lvt_nfet_b_Idssat_vs_FBBN_and_W!$B$30:$K$30</c:f>
              <c:numCache>
                <c:formatCode>0.00</c:formatCode>
                <c:ptCount val="10"/>
                <c:pt idx="0">
                  <c:v>24.28</c:v>
                </c:pt>
                <c:pt idx="1">
                  <c:v>27.869999999999997</c:v>
                </c:pt>
                <c:pt idx="2">
                  <c:v>31.71</c:v>
                </c:pt>
                <c:pt idx="3">
                  <c:v>35.79</c:v>
                </c:pt>
                <c:pt idx="4">
                  <c:v>40.080000000000005</c:v>
                </c:pt>
                <c:pt idx="5">
                  <c:v>44.56</c:v>
                </c:pt>
                <c:pt idx="6">
                  <c:v>49.21</c:v>
                </c:pt>
                <c:pt idx="7">
                  <c:v>58.92</c:v>
                </c:pt>
                <c:pt idx="8">
                  <c:v>69.06</c:v>
                </c:pt>
                <c:pt idx="9">
                  <c:v>79.48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79A-45DF-AEE4-AA8AD73FCE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10137040"/>
        <c:axId val="510135728"/>
      </c:lineChart>
      <c:catAx>
        <c:axId val="51013704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/>
                  <a:t>FBBN (V)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0135728"/>
        <c:crosses val="autoZero"/>
        <c:auto val="1"/>
        <c:lblAlgn val="ctr"/>
        <c:lblOffset val="100"/>
        <c:noMultiLvlLbl val="0"/>
      </c:catAx>
      <c:valAx>
        <c:axId val="5101357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/>
                  <a:t>Idsat (uA)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01370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561975</xdr:colOff>
      <xdr:row>9</xdr:row>
      <xdr:rowOff>90487</xdr:rowOff>
    </xdr:from>
    <xdr:to>
      <xdr:col>19</xdr:col>
      <xdr:colOff>257175</xdr:colOff>
      <xdr:row>23</xdr:row>
      <xdr:rowOff>166687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7EACBEC-0438-4DAA-BA7E-905815741F6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485775</xdr:colOff>
      <xdr:row>24</xdr:row>
      <xdr:rowOff>128587</xdr:rowOff>
    </xdr:from>
    <xdr:to>
      <xdr:col>19</xdr:col>
      <xdr:colOff>180975</xdr:colOff>
      <xdr:row>39</xdr:row>
      <xdr:rowOff>14287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36CC5A8-7503-4790-BDA7-A5E8D7C0FED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0"/>
  <sheetViews>
    <sheetView tabSelected="1" workbookViewId="0">
      <selection activeCell="A8" sqref="A8:K13"/>
    </sheetView>
  </sheetViews>
  <sheetFormatPr defaultRowHeight="15" x14ac:dyDescent="0.25"/>
  <cols>
    <col min="1" max="1" width="22.7109375" customWidth="1"/>
  </cols>
  <sheetData>
    <row r="1" spans="1:11" x14ac:dyDescent="0.25">
      <c r="A1" t="s">
        <v>5</v>
      </c>
    </row>
    <row r="2" spans="1:11" x14ac:dyDescent="0.25">
      <c r="A2" t="s">
        <v>0</v>
      </c>
      <c r="B2">
        <v>0</v>
      </c>
      <c r="C2" s="1">
        <v>0.15</v>
      </c>
      <c r="D2" s="1">
        <v>0.3</v>
      </c>
      <c r="E2" s="1">
        <v>0.45</v>
      </c>
      <c r="F2" s="1">
        <v>0.6</v>
      </c>
      <c r="G2" s="1">
        <v>0.75</v>
      </c>
      <c r="H2" s="1">
        <v>0.9</v>
      </c>
      <c r="I2">
        <v>1.2</v>
      </c>
      <c r="J2">
        <v>1.5</v>
      </c>
      <c r="K2">
        <v>1.8</v>
      </c>
    </row>
    <row r="3" spans="1:11" x14ac:dyDescent="0.25">
      <c r="A3" t="s">
        <v>1</v>
      </c>
      <c r="B3" s="1">
        <v>6.6089999999999999E-5</v>
      </c>
      <c r="C3" s="1">
        <v>6.7589999999999995E-5</v>
      </c>
      <c r="D3" s="1">
        <v>6.9090000000000004E-5</v>
      </c>
      <c r="E3" s="1">
        <v>7.0599999999999995E-5</v>
      </c>
      <c r="F3" s="1">
        <v>7.2130000000000002E-5</v>
      </c>
      <c r="G3" s="1">
        <v>7.3670000000000004E-5</v>
      </c>
      <c r="H3" s="1">
        <v>7.5220000000000001E-5</v>
      </c>
      <c r="I3" s="1">
        <v>7.8360000000000002E-5</v>
      </c>
      <c r="J3" s="1">
        <v>8.1539999999999995E-5</v>
      </c>
      <c r="K3" s="1">
        <v>8.4759999999999995E-5</v>
      </c>
    </row>
    <row r="4" spans="1:11" x14ac:dyDescent="0.25">
      <c r="A4" t="s">
        <v>2</v>
      </c>
      <c r="B4" s="1">
        <v>1.203E-4</v>
      </c>
      <c r="C4" s="1">
        <v>1.2310000000000001E-4</v>
      </c>
      <c r="D4" s="1">
        <v>1.259E-4</v>
      </c>
      <c r="E4" s="1">
        <v>1.2870000000000001E-4</v>
      </c>
      <c r="F4" s="1">
        <v>1.315E-4</v>
      </c>
      <c r="G4" s="1">
        <v>1.3430000000000001E-4</v>
      </c>
      <c r="H4" s="1">
        <v>1.371E-4</v>
      </c>
      <c r="I4" s="1">
        <v>1.429E-4</v>
      </c>
      <c r="J4" s="1">
        <v>1.4870000000000001E-4</v>
      </c>
      <c r="K4" s="1">
        <v>1.5449999999999999E-4</v>
      </c>
    </row>
    <row r="5" spans="1:11" x14ac:dyDescent="0.25">
      <c r="A5" t="s">
        <v>3</v>
      </c>
      <c r="B5" s="1">
        <v>1.7640000000000001E-4</v>
      </c>
      <c r="C5" s="1">
        <v>1.8039999999999999E-4</v>
      </c>
      <c r="D5" s="1">
        <v>1.8450000000000001E-4</v>
      </c>
      <c r="E5" s="1">
        <v>1.885E-4</v>
      </c>
      <c r="F5" s="1">
        <v>1.9259999999999999E-4</v>
      </c>
      <c r="G5" s="1">
        <v>1.9670000000000001E-4</v>
      </c>
      <c r="H5" s="1">
        <v>2.008E-4</v>
      </c>
      <c r="I5" s="1">
        <v>2.0909999999999999E-4</v>
      </c>
      <c r="J5" s="1">
        <v>2.175E-4</v>
      </c>
      <c r="K5" s="1">
        <v>2.2599999999999999E-4</v>
      </c>
    </row>
    <row r="6" spans="1:11" x14ac:dyDescent="0.25">
      <c r="A6" t="s">
        <v>4</v>
      </c>
      <c r="B6" s="1">
        <v>2.353E-4</v>
      </c>
      <c r="C6" s="1">
        <v>2.4059999999999999E-4</v>
      </c>
      <c r="D6" s="1">
        <v>2.4590000000000001E-4</v>
      </c>
      <c r="E6" s="1">
        <v>2.5129999999999998E-4</v>
      </c>
      <c r="F6" s="1">
        <v>2.566E-4</v>
      </c>
      <c r="G6" s="1">
        <v>2.6200000000000003E-4</v>
      </c>
      <c r="H6" s="1">
        <v>2.6739999999999999E-4</v>
      </c>
      <c r="I6" s="1">
        <v>2.7829999999999999E-4</v>
      </c>
      <c r="J6" s="1">
        <v>2.8939999999999999E-4</v>
      </c>
      <c r="K6" s="1">
        <v>3.0049999999999999E-4</v>
      </c>
    </row>
    <row r="8" spans="1:11" x14ac:dyDescent="0.25">
      <c r="A8" t="s">
        <v>6</v>
      </c>
    </row>
    <row r="9" spans="1:11" x14ac:dyDescent="0.25">
      <c r="A9" t="s">
        <v>0</v>
      </c>
      <c r="B9">
        <v>0</v>
      </c>
      <c r="C9" s="1">
        <v>0.15</v>
      </c>
      <c r="D9" s="1">
        <v>0.3</v>
      </c>
      <c r="E9" s="1">
        <v>0.45</v>
      </c>
      <c r="F9" s="1">
        <v>0.6</v>
      </c>
      <c r="G9" s="1">
        <v>0.75</v>
      </c>
      <c r="H9" s="1">
        <v>0.9</v>
      </c>
      <c r="I9">
        <v>1.2</v>
      </c>
      <c r="J9">
        <v>1.5</v>
      </c>
      <c r="K9">
        <v>1.8</v>
      </c>
    </row>
    <row r="10" spans="1:11" x14ac:dyDescent="0.25">
      <c r="A10" t="s">
        <v>1</v>
      </c>
      <c r="B10" s="1">
        <v>7.6000000000000001E-6</v>
      </c>
      <c r="C10" s="1">
        <v>8.7460000000000006E-6</v>
      </c>
      <c r="D10" s="1">
        <v>9.9760000000000007E-6</v>
      </c>
      <c r="E10" s="1">
        <v>1.128E-5</v>
      </c>
      <c r="F10" s="1">
        <v>1.2660000000000001E-5</v>
      </c>
      <c r="G10" s="1">
        <v>1.4090000000000001E-5</v>
      </c>
      <c r="H10" s="1">
        <v>1.558E-5</v>
      </c>
      <c r="I10" s="1">
        <v>1.8680000000000001E-5</v>
      </c>
      <c r="J10" s="1">
        <v>2.19E-5</v>
      </c>
      <c r="K10" s="1">
        <v>2.5190000000000001E-5</v>
      </c>
    </row>
    <row r="11" spans="1:11" x14ac:dyDescent="0.25">
      <c r="A11" t="s">
        <v>2</v>
      </c>
      <c r="B11" s="1">
        <v>1.257E-5</v>
      </c>
      <c r="C11" s="1">
        <v>1.447E-5</v>
      </c>
      <c r="D11" s="1">
        <v>1.6509999999999999E-5</v>
      </c>
      <c r="E11" s="1">
        <v>1.8680000000000001E-5</v>
      </c>
      <c r="F11" s="1">
        <v>2.0970000000000001E-5</v>
      </c>
      <c r="G11" s="1">
        <v>2.336E-5</v>
      </c>
      <c r="H11" s="1">
        <v>2.5850000000000002E-5</v>
      </c>
      <c r="I11" s="1">
        <v>3.1050000000000003E-5</v>
      </c>
      <c r="J11" s="1">
        <v>3.6480000000000003E-5</v>
      </c>
      <c r="K11" s="1">
        <v>4.206E-5</v>
      </c>
    </row>
    <row r="12" spans="1:11" x14ac:dyDescent="0.25">
      <c r="A12" t="s">
        <v>3</v>
      </c>
      <c r="B12" s="1">
        <v>1.8050000000000002E-5</v>
      </c>
      <c r="C12" s="1">
        <v>2.0740000000000001E-5</v>
      </c>
      <c r="D12" s="1">
        <v>2.3640000000000001E-5</v>
      </c>
      <c r="E12" s="1">
        <v>2.671E-5</v>
      </c>
      <c r="F12" s="1">
        <v>2.9960000000000001E-5</v>
      </c>
      <c r="G12" s="1">
        <v>3.3349999999999997E-5</v>
      </c>
      <c r="H12" s="1">
        <v>3.6869999999999998E-5</v>
      </c>
      <c r="I12" s="1">
        <v>4.4240000000000003E-5</v>
      </c>
      <c r="J12" s="1">
        <v>5.1940000000000001E-5</v>
      </c>
      <c r="K12" s="1">
        <v>5.9870000000000001E-5</v>
      </c>
    </row>
    <row r="13" spans="1:11" x14ac:dyDescent="0.25">
      <c r="A13" t="s">
        <v>4</v>
      </c>
      <c r="B13" s="1">
        <v>2.4280000000000001E-5</v>
      </c>
      <c r="C13" s="1">
        <v>2.7869999999999999E-5</v>
      </c>
      <c r="D13" s="1">
        <v>3.171E-5</v>
      </c>
      <c r="E13" s="1">
        <v>3.5790000000000001E-5</v>
      </c>
      <c r="F13" s="1">
        <v>4.0080000000000003E-5</v>
      </c>
      <c r="G13" s="1">
        <v>4.456E-5</v>
      </c>
      <c r="H13" s="1">
        <v>4.9209999999999998E-5</v>
      </c>
      <c r="I13" s="1">
        <v>5.8919999999999998E-5</v>
      </c>
      <c r="J13" s="1">
        <v>6.9060000000000006E-5</v>
      </c>
      <c r="K13" s="1">
        <v>7.9480000000000005E-5</v>
      </c>
    </row>
    <row r="18" spans="1:11" x14ac:dyDescent="0.25">
      <c r="A18" t="s">
        <v>11</v>
      </c>
    </row>
    <row r="19" spans="1:11" x14ac:dyDescent="0.25">
      <c r="A19" t="s">
        <v>12</v>
      </c>
    </row>
    <row r="20" spans="1:11" x14ac:dyDescent="0.25">
      <c r="A20" t="s">
        <v>0</v>
      </c>
      <c r="B20">
        <v>0</v>
      </c>
      <c r="C20">
        <v>0.15</v>
      </c>
      <c r="D20">
        <v>0.3</v>
      </c>
      <c r="E20">
        <v>0.45</v>
      </c>
      <c r="F20">
        <v>0.6</v>
      </c>
      <c r="G20">
        <v>0.75</v>
      </c>
      <c r="H20">
        <v>0.9</v>
      </c>
      <c r="I20">
        <v>1.2</v>
      </c>
      <c r="J20">
        <v>1.5</v>
      </c>
      <c r="K20">
        <v>1.8</v>
      </c>
    </row>
    <row r="21" spans="1:11" x14ac:dyDescent="0.25">
      <c r="A21" t="s">
        <v>7</v>
      </c>
      <c r="B21" s="2">
        <f>B3*1000000</f>
        <v>66.09</v>
      </c>
      <c r="C21" s="2">
        <f t="shared" ref="C21:K21" si="0">C3*1000000</f>
        <v>67.589999999999989</v>
      </c>
      <c r="D21" s="2">
        <f t="shared" si="0"/>
        <v>69.09</v>
      </c>
      <c r="E21" s="2">
        <f t="shared" si="0"/>
        <v>70.599999999999994</v>
      </c>
      <c r="F21" s="2">
        <f t="shared" si="0"/>
        <v>72.13</v>
      </c>
      <c r="G21" s="2">
        <f t="shared" si="0"/>
        <v>73.67</v>
      </c>
      <c r="H21" s="2">
        <f t="shared" si="0"/>
        <v>75.22</v>
      </c>
      <c r="I21" s="2">
        <f t="shared" si="0"/>
        <v>78.36</v>
      </c>
      <c r="J21" s="2">
        <f t="shared" si="0"/>
        <v>81.539999999999992</v>
      </c>
      <c r="K21" s="2">
        <f t="shared" si="0"/>
        <v>84.759999999999991</v>
      </c>
    </row>
    <row r="22" spans="1:11" x14ac:dyDescent="0.25">
      <c r="A22" t="s">
        <v>8</v>
      </c>
      <c r="B22" s="2">
        <f t="shared" ref="B22:K22" si="1">B4*1000000</f>
        <v>120.3</v>
      </c>
      <c r="C22" s="2">
        <f t="shared" si="1"/>
        <v>123.10000000000001</v>
      </c>
      <c r="D22" s="2">
        <f t="shared" si="1"/>
        <v>125.89999999999999</v>
      </c>
      <c r="E22" s="2">
        <f t="shared" si="1"/>
        <v>128.70000000000002</v>
      </c>
      <c r="F22" s="2">
        <f t="shared" si="1"/>
        <v>131.5</v>
      </c>
      <c r="G22" s="2">
        <f t="shared" si="1"/>
        <v>134.30000000000001</v>
      </c>
      <c r="H22" s="2">
        <f t="shared" si="1"/>
        <v>137.1</v>
      </c>
      <c r="I22" s="2">
        <f t="shared" si="1"/>
        <v>142.9</v>
      </c>
      <c r="J22" s="2">
        <f t="shared" si="1"/>
        <v>148.70000000000002</v>
      </c>
      <c r="K22" s="2">
        <f t="shared" si="1"/>
        <v>154.5</v>
      </c>
    </row>
    <row r="23" spans="1:11" x14ac:dyDescent="0.25">
      <c r="A23" t="s">
        <v>9</v>
      </c>
      <c r="B23" s="2">
        <f t="shared" ref="B23:K23" si="2">B5*1000000</f>
        <v>176.4</v>
      </c>
      <c r="C23" s="2">
        <f t="shared" si="2"/>
        <v>180.4</v>
      </c>
      <c r="D23" s="2">
        <f t="shared" si="2"/>
        <v>184.5</v>
      </c>
      <c r="E23" s="2">
        <f t="shared" si="2"/>
        <v>188.5</v>
      </c>
      <c r="F23" s="2">
        <f t="shared" si="2"/>
        <v>192.6</v>
      </c>
      <c r="G23" s="2">
        <f t="shared" si="2"/>
        <v>196.70000000000002</v>
      </c>
      <c r="H23" s="2">
        <f t="shared" si="2"/>
        <v>200.8</v>
      </c>
      <c r="I23" s="2">
        <f t="shared" si="2"/>
        <v>209.1</v>
      </c>
      <c r="J23" s="2">
        <f t="shared" si="2"/>
        <v>217.5</v>
      </c>
      <c r="K23" s="2">
        <f t="shared" si="2"/>
        <v>226</v>
      </c>
    </row>
    <row r="24" spans="1:11" x14ac:dyDescent="0.25">
      <c r="A24" t="s">
        <v>10</v>
      </c>
      <c r="B24" s="2">
        <f t="shared" ref="B24:K24" si="3">B6*1000000</f>
        <v>235.3</v>
      </c>
      <c r="C24" s="2">
        <f t="shared" si="3"/>
        <v>240.6</v>
      </c>
      <c r="D24" s="2">
        <f t="shared" si="3"/>
        <v>245.9</v>
      </c>
      <c r="E24" s="2">
        <f t="shared" si="3"/>
        <v>251.29999999999998</v>
      </c>
      <c r="F24" s="2">
        <f t="shared" si="3"/>
        <v>256.60000000000002</v>
      </c>
      <c r="G24" s="2">
        <f t="shared" si="3"/>
        <v>262</v>
      </c>
      <c r="H24" s="2">
        <f t="shared" si="3"/>
        <v>267.39999999999998</v>
      </c>
      <c r="I24" s="2">
        <f t="shared" si="3"/>
        <v>278.3</v>
      </c>
      <c r="J24" s="2">
        <f t="shared" si="3"/>
        <v>289.39999999999998</v>
      </c>
      <c r="K24" s="2">
        <f t="shared" si="3"/>
        <v>300.5</v>
      </c>
    </row>
    <row r="25" spans="1:11" x14ac:dyDescent="0.25">
      <c r="A25" t="s">
        <v>6</v>
      </c>
    </row>
    <row r="26" spans="1:11" x14ac:dyDescent="0.25">
      <c r="A26" t="s">
        <v>0</v>
      </c>
      <c r="B26">
        <v>0</v>
      </c>
      <c r="C26">
        <v>0.15</v>
      </c>
      <c r="D26">
        <v>0.3</v>
      </c>
      <c r="E26">
        <v>0.45</v>
      </c>
      <c r="F26">
        <v>0.6</v>
      </c>
      <c r="G26">
        <v>0.75</v>
      </c>
      <c r="H26">
        <v>0.9</v>
      </c>
      <c r="I26">
        <v>1.2</v>
      </c>
      <c r="J26">
        <v>1.5</v>
      </c>
      <c r="K26">
        <v>1.8</v>
      </c>
    </row>
    <row r="27" spans="1:11" x14ac:dyDescent="0.25">
      <c r="A27" t="s">
        <v>7</v>
      </c>
      <c r="B27" s="2">
        <f>B10*1000000</f>
        <v>7.6</v>
      </c>
      <c r="C27" s="2">
        <f t="shared" ref="C27:K27" si="4">C10*1000000</f>
        <v>8.7460000000000004</v>
      </c>
      <c r="D27" s="2">
        <f t="shared" si="4"/>
        <v>9.9760000000000009</v>
      </c>
      <c r="E27" s="2">
        <f t="shared" si="4"/>
        <v>11.280000000000001</v>
      </c>
      <c r="F27" s="2">
        <f t="shared" si="4"/>
        <v>12.66</v>
      </c>
      <c r="G27" s="2">
        <f t="shared" si="4"/>
        <v>14.09</v>
      </c>
      <c r="H27" s="2">
        <f t="shared" si="4"/>
        <v>15.58</v>
      </c>
      <c r="I27" s="2">
        <f t="shared" si="4"/>
        <v>18.68</v>
      </c>
      <c r="J27" s="2">
        <f t="shared" si="4"/>
        <v>21.900000000000002</v>
      </c>
      <c r="K27" s="2">
        <f t="shared" si="4"/>
        <v>25.19</v>
      </c>
    </row>
    <row r="28" spans="1:11" x14ac:dyDescent="0.25">
      <c r="A28" t="s">
        <v>8</v>
      </c>
      <c r="B28" s="2">
        <f t="shared" ref="B28:K28" si="5">B11*1000000</f>
        <v>12.57</v>
      </c>
      <c r="C28" s="2">
        <f t="shared" si="5"/>
        <v>14.47</v>
      </c>
      <c r="D28" s="2">
        <f t="shared" si="5"/>
        <v>16.509999999999998</v>
      </c>
      <c r="E28" s="2">
        <f t="shared" si="5"/>
        <v>18.68</v>
      </c>
      <c r="F28" s="2">
        <f t="shared" si="5"/>
        <v>20.970000000000002</v>
      </c>
      <c r="G28" s="2">
        <f t="shared" si="5"/>
        <v>23.36</v>
      </c>
      <c r="H28" s="2">
        <f t="shared" si="5"/>
        <v>25.85</v>
      </c>
      <c r="I28" s="2">
        <f t="shared" si="5"/>
        <v>31.050000000000004</v>
      </c>
      <c r="J28" s="2">
        <f t="shared" si="5"/>
        <v>36.480000000000004</v>
      </c>
      <c r="K28" s="2">
        <f t="shared" si="5"/>
        <v>42.06</v>
      </c>
    </row>
    <row r="29" spans="1:11" x14ac:dyDescent="0.25">
      <c r="A29" t="s">
        <v>9</v>
      </c>
      <c r="B29" s="2">
        <f t="shared" ref="B29:K29" si="6">B12*1000000</f>
        <v>18.05</v>
      </c>
      <c r="C29" s="2">
        <f t="shared" si="6"/>
        <v>20.740000000000002</v>
      </c>
      <c r="D29" s="2">
        <f t="shared" si="6"/>
        <v>23.64</v>
      </c>
      <c r="E29" s="2">
        <f t="shared" si="6"/>
        <v>26.71</v>
      </c>
      <c r="F29" s="2">
        <f t="shared" si="6"/>
        <v>29.96</v>
      </c>
      <c r="G29" s="2">
        <f t="shared" si="6"/>
        <v>33.349999999999994</v>
      </c>
      <c r="H29" s="2">
        <f t="shared" si="6"/>
        <v>36.869999999999997</v>
      </c>
      <c r="I29" s="2">
        <f t="shared" si="6"/>
        <v>44.24</v>
      </c>
      <c r="J29" s="2">
        <f t="shared" si="6"/>
        <v>51.94</v>
      </c>
      <c r="K29" s="2">
        <f t="shared" si="6"/>
        <v>59.870000000000005</v>
      </c>
    </row>
    <row r="30" spans="1:11" x14ac:dyDescent="0.25">
      <c r="A30" t="s">
        <v>10</v>
      </c>
      <c r="B30" s="2">
        <f t="shared" ref="B30:K30" si="7">B13*1000000</f>
        <v>24.28</v>
      </c>
      <c r="C30" s="2">
        <f t="shared" si="7"/>
        <v>27.869999999999997</v>
      </c>
      <c r="D30" s="2">
        <f t="shared" si="7"/>
        <v>31.71</v>
      </c>
      <c r="E30" s="2">
        <f t="shared" si="7"/>
        <v>35.79</v>
      </c>
      <c r="F30" s="2">
        <f t="shared" si="7"/>
        <v>40.080000000000005</v>
      </c>
      <c r="G30" s="2">
        <f t="shared" si="7"/>
        <v>44.56</v>
      </c>
      <c r="H30" s="2">
        <f t="shared" si="7"/>
        <v>49.21</v>
      </c>
      <c r="I30" s="2">
        <f t="shared" si="7"/>
        <v>58.92</v>
      </c>
      <c r="J30" s="2">
        <f t="shared" si="7"/>
        <v>69.06</v>
      </c>
      <c r="K30" s="2">
        <f t="shared" si="7"/>
        <v>79.48</v>
      </c>
    </row>
  </sheetData>
  <pageMargins left="0.7" right="0.7" top="0.75" bottom="0.75" header="0.3" footer="0.3"/>
  <drawing r:id="rId1"/>
</worksheet>
</file>

<file path=docMetadata/LabelInfo.xml><?xml version="1.0" encoding="utf-8"?>
<clbl:labelList xmlns:clbl="http://schemas.microsoft.com/office/2020/mipLabelMetadata">
  <clbl:label id="{ddaa77bc-0157-46a4-82a6-8fc765694bc9}" enabled="1" method="Standard" siteId="{d1323671-cdbe-4417-b4d4-bdb24b51316b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lvt_nfet_b_Idssat_vs_FBBN_and_W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Huy Nguyen</cp:lastModifiedBy>
  <dcterms:created xsi:type="dcterms:W3CDTF">2022-01-01T03:18:15Z</dcterms:created>
  <dcterms:modified xsi:type="dcterms:W3CDTF">2026-02-06T09:02:53Z</dcterms:modified>
</cp:coreProperties>
</file>